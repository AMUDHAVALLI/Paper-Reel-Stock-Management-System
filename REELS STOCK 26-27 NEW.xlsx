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/>
  <bookViews>
    <workbookView xWindow="240" yWindow="12288" windowWidth="14808" windowHeight="1176" tabRatio="664"/>
  </bookViews>
  <sheets>
    <sheet name="REEL STOCK 26 TO 27" sheetId="6" r:id="rId1"/>
  </sheets>
  <calcPr calcId="162913"/>
</workbook>
</file>

<file path=xl/calcChain.xml><?xml version="1.0" encoding="utf-8"?>
<calcChain xmlns="http://schemas.openxmlformats.org/spreadsheetml/2006/main">
  <c r="I167" i="6" l="1"/>
  <c r="I180" i="6"/>
  <c r="H180" i="6"/>
  <c r="L178" i="6"/>
  <c r="O181" i="6"/>
  <c r="C181" i="6"/>
  <c r="I78" i="6"/>
  <c r="I98" i="6"/>
  <c r="I64" i="6"/>
  <c r="H78" i="6"/>
  <c r="G78" i="6"/>
  <c r="I51" i="6"/>
  <c r="I30" i="6"/>
  <c r="N64" i="6"/>
  <c r="H64" i="6"/>
  <c r="G64" i="6"/>
  <c r="L63" i="6"/>
  <c r="L62" i="6"/>
  <c r="L61" i="6"/>
  <c r="L60" i="6"/>
  <c r="L59" i="6"/>
  <c r="L58" i="6"/>
  <c r="M57" i="6"/>
  <c r="L57" i="6"/>
  <c r="M56" i="6"/>
  <c r="L56" i="6"/>
  <c r="H30" i="6"/>
  <c r="G30" i="6"/>
  <c r="L29" i="6"/>
  <c r="L28" i="6"/>
  <c r="L27" i="6"/>
  <c r="L26" i="6"/>
  <c r="L25" i="6"/>
  <c r="L24" i="6"/>
  <c r="L23" i="6"/>
  <c r="L22" i="6"/>
  <c r="M21" i="6"/>
  <c r="L21" i="6"/>
  <c r="N20" i="6"/>
  <c r="N30" i="6" s="1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L34" i="6"/>
  <c r="N34" i="6" s="1"/>
  <c r="L35" i="6"/>
  <c r="N35" i="6" s="1"/>
  <c r="L36" i="6"/>
  <c r="N36" i="6" s="1"/>
  <c r="L64" i="6" l="1"/>
  <c r="L30" i="6"/>
  <c r="G167" i="6"/>
  <c r="N167" i="6"/>
  <c r="N172" i="6"/>
  <c r="N180" i="6" s="1"/>
  <c r="L172" i="6"/>
  <c r="H167" i="6"/>
  <c r="L166" i="6"/>
  <c r="L164" i="6"/>
  <c r="L163" i="6"/>
  <c r="L162" i="6"/>
  <c r="L161" i="6"/>
  <c r="L160" i="6"/>
  <c r="M159" i="6"/>
  <c r="L159" i="6"/>
  <c r="L144" i="6"/>
  <c r="L145" i="6"/>
  <c r="L146" i="6"/>
  <c r="N154" i="6"/>
  <c r="H154" i="6"/>
  <c r="G154" i="6"/>
  <c r="L153" i="6"/>
  <c r="L152" i="6"/>
  <c r="L151" i="6"/>
  <c r="L150" i="6"/>
  <c r="L149" i="6"/>
  <c r="L148" i="6"/>
  <c r="L147" i="6"/>
  <c r="M143" i="6"/>
  <c r="L143" i="6"/>
  <c r="M142" i="6"/>
  <c r="L142" i="6"/>
  <c r="M141" i="6"/>
  <c r="L141" i="6"/>
  <c r="M125" i="6"/>
  <c r="M124" i="6"/>
  <c r="M123" i="6"/>
  <c r="M122" i="6"/>
  <c r="L167" i="6" l="1"/>
  <c r="I154" i="6"/>
  <c r="L154" i="6"/>
  <c r="N70" i="6" l="1"/>
  <c r="N71" i="6"/>
  <c r="N72" i="6"/>
  <c r="M70" i="6"/>
  <c r="M71" i="6"/>
  <c r="M72" i="6"/>
  <c r="N69" i="6"/>
  <c r="M69" i="6"/>
  <c r="M78" i="6" l="1"/>
  <c r="G180" i="6" l="1"/>
  <c r="L179" i="6"/>
  <c r="L177" i="6"/>
  <c r="L176" i="6"/>
  <c r="L175" i="6"/>
  <c r="L174" i="6"/>
  <c r="L173" i="6"/>
  <c r="M172" i="6"/>
  <c r="N136" i="6"/>
  <c r="H136" i="6"/>
  <c r="G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M121" i="6"/>
  <c r="L121" i="6"/>
  <c r="M120" i="6"/>
  <c r="L120" i="6"/>
  <c r="M119" i="6"/>
  <c r="L119" i="6"/>
  <c r="L136" i="6" s="1"/>
  <c r="N114" i="6"/>
  <c r="H114" i="6"/>
  <c r="G114" i="6"/>
  <c r="L113" i="6"/>
  <c r="L112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N98" i="6"/>
  <c r="H98" i="6"/>
  <c r="G98" i="6"/>
  <c r="L97" i="6"/>
  <c r="L96" i="6"/>
  <c r="L95" i="6"/>
  <c r="L94" i="6"/>
  <c r="L93" i="6"/>
  <c r="L92" i="6"/>
  <c r="L91" i="6"/>
  <c r="L90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N78" i="6"/>
  <c r="L77" i="6"/>
  <c r="L76" i="6"/>
  <c r="L75" i="6"/>
  <c r="L74" i="6"/>
  <c r="L73" i="6"/>
  <c r="L72" i="6"/>
  <c r="L71" i="6"/>
  <c r="L70" i="6"/>
  <c r="L69" i="6"/>
  <c r="H51" i="6"/>
  <c r="G51" i="6"/>
  <c r="L50" i="6"/>
  <c r="L49" i="6"/>
  <c r="L48" i="6"/>
  <c r="L47" i="6"/>
  <c r="L46" i="6"/>
  <c r="L45" i="6"/>
  <c r="N45" i="6" s="1"/>
  <c r="L44" i="6"/>
  <c r="N44" i="6" s="1"/>
  <c r="L43" i="6"/>
  <c r="N43" i="6" s="1"/>
  <c r="L42" i="6"/>
  <c r="N42" i="6" s="1"/>
  <c r="L41" i="6"/>
  <c r="N41" i="6" s="1"/>
  <c r="L40" i="6"/>
  <c r="N40" i="6" s="1"/>
  <c r="L39" i="6"/>
  <c r="N39" i="6" s="1"/>
  <c r="M38" i="6"/>
  <c r="L38" i="6"/>
  <c r="M37" i="6"/>
  <c r="L37" i="6"/>
  <c r="N37" i="6" l="1"/>
  <c r="F181" i="6"/>
  <c r="N38" i="6"/>
  <c r="I114" i="6"/>
  <c r="I136" i="6"/>
  <c r="L78" i="6"/>
  <c r="L98" i="6"/>
  <c r="M51" i="6"/>
  <c r="L114" i="6"/>
  <c r="L180" i="6"/>
  <c r="L181" i="6" s="1"/>
  <c r="L51" i="6"/>
  <c r="N51" i="6" l="1"/>
</calcChain>
</file>

<file path=xl/sharedStrings.xml><?xml version="1.0" encoding="utf-8"?>
<sst xmlns="http://schemas.openxmlformats.org/spreadsheetml/2006/main" count="312" uniqueCount="60">
  <si>
    <t xml:space="preserve"> </t>
  </si>
  <si>
    <t>OM NAMASIVAYAM PACKAGING</t>
  </si>
  <si>
    <t>SL NO</t>
  </si>
  <si>
    <t>REELS STOCK</t>
  </si>
  <si>
    <t>REEL WEIGHT</t>
  </si>
  <si>
    <t>BF</t>
  </si>
  <si>
    <t xml:space="preserve">REEL SIZE </t>
  </si>
  <si>
    <t>GSM</t>
  </si>
  <si>
    <t xml:space="preserve">USED DATE </t>
  </si>
  <si>
    <t>MILL NAME</t>
  </si>
  <si>
    <t xml:space="preserve">USED REEL </t>
  </si>
  <si>
    <t xml:space="preserve">BALANCE REEL QT </t>
  </si>
  <si>
    <t xml:space="preserve">TOTAL </t>
  </si>
  <si>
    <t xml:space="preserve">150 GSM </t>
  </si>
  <si>
    <t xml:space="preserve">180 GSM </t>
  </si>
  <si>
    <t>109 CM 180</t>
  </si>
  <si>
    <t>PRICE</t>
  </si>
  <si>
    <t xml:space="preserve">TOTAL STOCK </t>
  </si>
  <si>
    <t xml:space="preserve">AVAL BAL STOCK </t>
  </si>
  <si>
    <t xml:space="preserve">REEL. NO </t>
  </si>
  <si>
    <t xml:space="preserve">DATE </t>
  </si>
  <si>
    <t>REEL AMOUNT</t>
  </si>
  <si>
    <t xml:space="preserve">100 GSM </t>
  </si>
  <si>
    <t>ARULDEVI</t>
  </si>
  <si>
    <t>NPPL</t>
  </si>
  <si>
    <t>ORCHID</t>
  </si>
  <si>
    <t xml:space="preserve">109 CM </t>
  </si>
  <si>
    <t>200 GSM WHITE</t>
  </si>
  <si>
    <t>21051A</t>
  </si>
  <si>
    <t>21050A</t>
  </si>
  <si>
    <t>21057A</t>
  </si>
  <si>
    <t>122 CM  200</t>
  </si>
  <si>
    <t>250 GSM WHITE</t>
  </si>
  <si>
    <t xml:space="preserve">122 CM WHITE </t>
  </si>
  <si>
    <t>CUT SHEET 230 GSM</t>
  </si>
  <si>
    <t>62 X 77</t>
  </si>
  <si>
    <t>VAMSHADHARA</t>
  </si>
  <si>
    <t>62 CM RUBY</t>
  </si>
  <si>
    <t>62 CM 180 RUBY</t>
  </si>
  <si>
    <t>2026-2027</t>
  </si>
  <si>
    <t>132 CM 120</t>
  </si>
  <si>
    <t xml:space="preserve">132 CM </t>
  </si>
  <si>
    <t xml:space="preserve">123 CM </t>
  </si>
  <si>
    <t>114 CM 140</t>
  </si>
  <si>
    <t xml:space="preserve">114 CM </t>
  </si>
  <si>
    <t>90.5 CM 100</t>
  </si>
  <si>
    <t xml:space="preserve">90.5 CM </t>
  </si>
  <si>
    <t>VENKRAFT</t>
  </si>
  <si>
    <t>CONSUMED REEL AMOUNT</t>
  </si>
  <si>
    <t>BAL REEEL AMOUNT</t>
  </si>
  <si>
    <t xml:space="preserve">120 GSM </t>
  </si>
  <si>
    <t xml:space="preserve">TOTAL KRAFT AMOUNT </t>
  </si>
  <si>
    <t>AVAL KRAFT AMOUNT</t>
  </si>
  <si>
    <t xml:space="preserve">140 GSM </t>
  </si>
  <si>
    <t>90.5 CM</t>
  </si>
  <si>
    <t>123 CM 150</t>
  </si>
  <si>
    <t>93 CM  250</t>
  </si>
  <si>
    <t xml:space="preserve"> 93 CM WHITE </t>
  </si>
  <si>
    <t xml:space="preserve">CUT SHEET 200 GSM </t>
  </si>
  <si>
    <t>91X65.5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</si>
</sst>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* #,##0.00_);_(* \(#,##0.00\);_(* &quot;-&quot;??_);_(@_)"/>
    <numFmt numFmtId="165" formatCode="[$-409]d\-mmm\-yyyy;@"/>
    <numFmt numFmtId="166" formatCode="0;[Red]0"/>
    <numFmt numFmtId="167" formatCode="0.00;[Red]0.00"/>
    <numFmt numFmtId="168" formatCode="0.0;[Red]0.0"/>
    <numFmt numFmtId="169" formatCode="[$-409]d/mmm/yy;@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Times New Roman"/>
      <family val="1"/>
    </font>
    <font>
      <b/>
      <sz val="16"/>
      <name val="Times New Roman"/>
      <family val="1"/>
    </font>
    <font>
      <b/>
      <sz val="16"/>
      <color rgb="FF1720CF"/>
      <name val="Times New Roman"/>
      <family val="1"/>
    </font>
    <font>
      <b/>
      <sz val="16"/>
      <color rgb="FF002060"/>
      <name val="Times New Roman"/>
      <family val="1"/>
    </font>
    <font>
      <b/>
      <sz val="16"/>
      <color theme="0"/>
      <name val="Times New Roman"/>
      <family val="1"/>
    </font>
    <font>
      <b/>
      <sz val="16"/>
      <color rgb="FFFF0000"/>
      <name val="Times New Roman"/>
      <family val="1"/>
    </font>
    <font>
      <b/>
      <sz val="16"/>
      <color rgb="FF7030A0"/>
      <name val="Times New Roman"/>
      <family val="1"/>
    </font>
    <font>
      <b/>
      <sz val="18"/>
      <color theme="0"/>
      <name val="Times New Roman"/>
      <family val="1"/>
    </font>
    <font>
      <b/>
      <sz val="36"/>
      <name val="Times New Roman"/>
      <family val="1"/>
    </font>
    <font>
      <b/>
      <sz val="36"/>
      <color rgb="FFFF0000"/>
      <name val="Times New Roman"/>
      <family val="1"/>
    </font>
    <font>
      <b/>
      <sz val="20"/>
      <name val="Times New Roman"/>
      <family val="1"/>
    </font>
    <font>
      <b/>
      <sz val="36"/>
      <color theme="1"/>
      <name val="Times New Roman"/>
      <family val="1"/>
    </font>
    <font>
      <b/>
      <sz val="26"/>
      <name val="Times New Roman"/>
      <family val="1"/>
    </font>
    <font>
      <b/>
      <sz val="22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65B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rgb="FF7030A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7030A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14" fontId="3" fillId="0" borderId="10" xfId="0" applyNumberFormat="1" applyFont="1" applyBorder="1" applyAlignment="1">
      <alignment horizontal="center"/>
    </xf>
    <xf numFmtId="1" fontId="5" fillId="0" borderId="3" xfId="0" applyNumberFormat="1" applyFont="1" applyFill="1" applyBorder="1" applyAlignment="1">
      <alignment vertical="center"/>
    </xf>
    <xf numFmtId="0" fontId="7" fillId="0" borderId="0" xfId="0" applyFont="1"/>
    <xf numFmtId="0" fontId="3" fillId="0" borderId="13" xfId="0" applyFont="1" applyBorder="1"/>
    <xf numFmtId="0" fontId="8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/>
    <xf numFmtId="0" fontId="2" fillId="0" borderId="0" xfId="0" applyFont="1"/>
    <xf numFmtId="165" fontId="6" fillId="2" borderId="4" xfId="0" applyNumberFormat="1" applyFont="1" applyFill="1" applyBorder="1" applyAlignment="1">
      <alignment vertical="center"/>
    </xf>
    <xf numFmtId="0" fontId="3" fillId="0" borderId="0" xfId="0" applyNumberFormat="1" applyFont="1" applyAlignment="1">
      <alignment horizontal="center"/>
    </xf>
    <xf numFmtId="0" fontId="3" fillId="0" borderId="0" xfId="0" applyFont="1" applyAlignment="1"/>
    <xf numFmtId="0" fontId="3" fillId="0" borderId="6" xfId="0" applyFont="1" applyBorder="1" applyAlignment="1">
      <alignment horizontal="center"/>
    </xf>
    <xf numFmtId="166" fontId="4" fillId="0" borderId="0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0" xfId="0" applyNumberFormat="1" applyFont="1"/>
    <xf numFmtId="0" fontId="3" fillId="0" borderId="9" xfId="0" applyNumberFormat="1" applyFont="1" applyFill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/>
    </xf>
    <xf numFmtId="0" fontId="3" fillId="0" borderId="0" xfId="0" applyNumberFormat="1" applyFont="1" applyFill="1" applyBorder="1" applyAlignment="1">
      <alignment horizontal="center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4" fontId="5" fillId="0" borderId="7" xfId="0" applyNumberFormat="1" applyFont="1" applyFill="1" applyBorder="1" applyAlignment="1">
      <alignment horizontal="center"/>
    </xf>
    <xf numFmtId="14" fontId="5" fillId="0" borderId="10" xfId="0" applyNumberFormat="1" applyFont="1" applyFill="1" applyBorder="1" applyAlignment="1">
      <alignment horizontal="center"/>
    </xf>
    <xf numFmtId="14" fontId="3" fillId="0" borderId="0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5" xfId="0" applyNumberFormat="1" applyFont="1" applyBorder="1" applyAlignment="1">
      <alignment horizontal="center"/>
    </xf>
    <xf numFmtId="0" fontId="3" fillId="0" borderId="8" xfId="0" applyNumberFormat="1" applyFont="1" applyBorder="1" applyAlignment="1">
      <alignment horizontal="center"/>
    </xf>
    <xf numFmtId="0" fontId="5" fillId="0" borderId="10" xfId="0" applyNumberFormat="1" applyFont="1" applyFill="1" applyBorder="1" applyAlignment="1">
      <alignment horizontal="center"/>
    </xf>
    <xf numFmtId="0" fontId="5" fillId="0" borderId="2" xfId="0" applyNumberFormat="1" applyFont="1" applyFill="1" applyBorder="1" applyAlignment="1">
      <alignment horizontal="center" vertical="center"/>
    </xf>
    <xf numFmtId="0" fontId="3" fillId="0" borderId="10" xfId="0" applyNumberFormat="1" applyFont="1" applyBorder="1" applyAlignment="1">
      <alignment horizontal="center"/>
    </xf>
    <xf numFmtId="0" fontId="5" fillId="0" borderId="3" xfId="0" applyNumberFormat="1" applyFont="1" applyFill="1" applyBorder="1" applyAlignment="1">
      <alignment horizontal="center" vertical="center"/>
    </xf>
    <xf numFmtId="0" fontId="5" fillId="0" borderId="9" xfId="0" applyNumberFormat="1" applyFont="1" applyFill="1" applyBorder="1" applyAlignment="1">
      <alignment horizontal="center" vertical="center"/>
    </xf>
    <xf numFmtId="14" fontId="7" fillId="0" borderId="17" xfId="0" applyNumberFormat="1" applyFont="1" applyFill="1" applyBorder="1" applyAlignment="1">
      <alignment horizontal="right" vertical="center"/>
    </xf>
    <xf numFmtId="166" fontId="4" fillId="0" borderId="5" xfId="0" applyNumberFormat="1" applyFont="1" applyFill="1" applyBorder="1" applyAlignment="1">
      <alignment horizontal="center"/>
    </xf>
    <xf numFmtId="0" fontId="3" fillId="0" borderId="10" xfId="0" applyNumberFormat="1" applyFont="1" applyFill="1" applyBorder="1" applyAlignment="1">
      <alignment horizontal="center"/>
    </xf>
    <xf numFmtId="168" fontId="3" fillId="6" borderId="18" xfId="0" applyNumberFormat="1" applyFont="1" applyFill="1" applyBorder="1" applyAlignment="1">
      <alignment horizontal="right" vertical="center"/>
    </xf>
    <xf numFmtId="169" fontId="3" fillId="0" borderId="10" xfId="0" applyNumberFormat="1" applyFont="1" applyBorder="1" applyAlignment="1">
      <alignment horizontal="center"/>
    </xf>
    <xf numFmtId="169" fontId="3" fillId="0" borderId="16" xfId="0" applyNumberFormat="1" applyFont="1" applyBorder="1" applyAlignment="1">
      <alignment horizontal="center"/>
    </xf>
    <xf numFmtId="169" fontId="3" fillId="0" borderId="6" xfId="0" applyNumberFormat="1" applyFont="1" applyBorder="1" applyAlignment="1">
      <alignment horizontal="center"/>
    </xf>
    <xf numFmtId="169" fontId="3" fillId="0" borderId="0" xfId="0" applyNumberFormat="1" applyFont="1" applyBorder="1"/>
    <xf numFmtId="169" fontId="3" fillId="0" borderId="0" xfId="0" applyNumberFormat="1" applyFont="1"/>
    <xf numFmtId="0" fontId="6" fillId="2" borderId="4" xfId="0" applyNumberFormat="1" applyFont="1" applyFill="1" applyBorder="1" applyAlignment="1">
      <alignment horizontal="center"/>
    </xf>
    <xf numFmtId="0" fontId="6" fillId="2" borderId="8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 vertical="center"/>
    </xf>
    <xf numFmtId="167" fontId="6" fillId="2" borderId="4" xfId="0" applyNumberFormat="1" applyFont="1" applyFill="1" applyBorder="1" applyAlignment="1">
      <alignment horizontal="center" vertical="center"/>
    </xf>
    <xf numFmtId="167" fontId="6" fillId="2" borderId="8" xfId="0" applyNumberFormat="1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/>
    </xf>
    <xf numFmtId="169" fontId="3" fillId="7" borderId="6" xfId="0" applyNumberFormat="1" applyFont="1" applyFill="1" applyBorder="1" applyAlignment="1">
      <alignment horizontal="center"/>
    </xf>
    <xf numFmtId="0" fontId="3" fillId="7" borderId="5" xfId="0" applyNumberFormat="1" applyFont="1" applyFill="1" applyBorder="1" applyAlignment="1">
      <alignment horizontal="center"/>
    </xf>
    <xf numFmtId="166" fontId="4" fillId="7" borderId="0" xfId="0" applyNumberFormat="1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0" xfId="0" applyNumberFormat="1" applyFont="1" applyFill="1" applyBorder="1" applyAlignment="1">
      <alignment horizontal="center"/>
    </xf>
    <xf numFmtId="14" fontId="5" fillId="7" borderId="10" xfId="0" applyNumberFormat="1" applyFont="1" applyFill="1" applyBorder="1" applyAlignment="1">
      <alignment horizontal="center"/>
    </xf>
    <xf numFmtId="0" fontId="5" fillId="7" borderId="10" xfId="0" applyNumberFormat="1" applyFont="1" applyFill="1" applyBorder="1" applyAlignment="1">
      <alignment horizontal="center"/>
    </xf>
    <xf numFmtId="14" fontId="3" fillId="7" borderId="10" xfId="0" applyNumberFormat="1" applyFont="1" applyFill="1" applyBorder="1" applyAlignment="1">
      <alignment horizontal="center"/>
    </xf>
    <xf numFmtId="14" fontId="5" fillId="7" borderId="7" xfId="0" applyNumberFormat="1" applyFont="1" applyFill="1" applyBorder="1" applyAlignment="1">
      <alignment horizontal="center"/>
    </xf>
    <xf numFmtId="0" fontId="3" fillId="7" borderId="10" xfId="0" applyNumberFormat="1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169" fontId="3" fillId="7" borderId="10" xfId="0" applyNumberFormat="1" applyFont="1" applyFill="1" applyBorder="1" applyAlignment="1">
      <alignment horizontal="center"/>
    </xf>
    <xf numFmtId="0" fontId="14" fillId="0" borderId="0" xfId="0" applyFont="1" applyAlignment="1">
      <alignment vertical="center"/>
    </xf>
    <xf numFmtId="167" fontId="7" fillId="2" borderId="8" xfId="0" applyNumberFormat="1" applyFont="1" applyFill="1" applyBorder="1" applyAlignment="1">
      <alignment horizontal="center" vertical="center"/>
    </xf>
    <xf numFmtId="0" fontId="5" fillId="0" borderId="19" xfId="0" applyNumberFormat="1" applyFont="1" applyFill="1" applyBorder="1" applyAlignment="1">
      <alignment horizontal="center" vertical="center"/>
    </xf>
    <xf numFmtId="1" fontId="5" fillId="0" borderId="19" xfId="0" applyNumberFormat="1" applyFont="1" applyFill="1" applyBorder="1" applyAlignment="1">
      <alignment vertical="center"/>
    </xf>
    <xf numFmtId="0" fontId="5" fillId="8" borderId="2" xfId="0" applyNumberFormat="1" applyFont="1" applyFill="1" applyBorder="1" applyAlignment="1">
      <alignment horizontal="center" vertical="center"/>
    </xf>
    <xf numFmtId="0" fontId="6" fillId="2" borderId="8" xfId="0" applyNumberFormat="1" applyFont="1" applyFill="1" applyBorder="1" applyAlignment="1">
      <alignment horizontal="center" vertical="center"/>
    </xf>
    <xf numFmtId="0" fontId="5" fillId="9" borderId="19" xfId="0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vertical="center"/>
    </xf>
    <xf numFmtId="166" fontId="12" fillId="10" borderId="3" xfId="0" applyNumberFormat="1" applyFont="1" applyFill="1" applyBorder="1" applyAlignment="1">
      <alignment horizontal="center" vertical="center"/>
    </xf>
    <xf numFmtId="0" fontId="12" fillId="11" borderId="9" xfId="0" applyFont="1" applyFill="1" applyBorder="1" applyAlignment="1">
      <alignment horizontal="center" vertical="center"/>
    </xf>
    <xf numFmtId="0" fontId="6" fillId="2" borderId="8" xfId="0" applyNumberFormat="1" applyFont="1" applyFill="1" applyBorder="1" applyAlignment="1">
      <alignment horizontal="center" vertical="center"/>
    </xf>
    <xf numFmtId="0" fontId="6" fillId="2" borderId="8" xfId="0" applyNumberFormat="1" applyFont="1" applyFill="1" applyBorder="1" applyAlignment="1">
      <alignment horizontal="center" vertical="center"/>
    </xf>
    <xf numFmtId="0" fontId="6" fillId="2" borderId="4" xfId="0" applyNumberFormat="1" applyFont="1" applyFill="1" applyBorder="1" applyAlignment="1">
      <alignment horizontal="center" vertical="center" wrapText="1"/>
    </xf>
    <xf numFmtId="0" fontId="6" fillId="2" borderId="8" xfId="0" applyNumberFormat="1" applyFont="1" applyFill="1" applyBorder="1" applyAlignment="1">
      <alignment horizontal="center" vertical="center" wrapText="1"/>
    </xf>
    <xf numFmtId="14" fontId="6" fillId="2" borderId="4" xfId="0" applyNumberFormat="1" applyFont="1" applyFill="1" applyBorder="1" applyAlignment="1">
      <alignment horizontal="center" vertical="center" wrapText="1"/>
    </xf>
    <xf numFmtId="14" fontId="6" fillId="2" borderId="8" xfId="0" applyNumberFormat="1" applyFont="1" applyFill="1" applyBorder="1" applyAlignment="1">
      <alignment horizontal="center" vertical="center" wrapText="1"/>
    </xf>
    <xf numFmtId="0" fontId="6" fillId="2" borderId="4" xfId="0" applyNumberFormat="1" applyFont="1" applyFill="1" applyBorder="1" applyAlignment="1">
      <alignment horizontal="center" vertical="center"/>
    </xf>
    <xf numFmtId="0" fontId="6" fillId="2" borderId="8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1" fontId="6" fillId="2" borderId="4" xfId="0" applyNumberFormat="1" applyFont="1" applyFill="1" applyBorder="1" applyAlignment="1">
      <alignment horizontal="center" vertical="center" wrapText="1"/>
    </xf>
    <xf numFmtId="1" fontId="6" fillId="2" borderId="8" xfId="0" applyNumberFormat="1" applyFont="1" applyFill="1" applyBorder="1" applyAlignment="1">
      <alignment horizontal="center" vertical="center" wrapText="1"/>
    </xf>
    <xf numFmtId="169" fontId="6" fillId="2" borderId="4" xfId="0" applyNumberFormat="1" applyFont="1" applyFill="1" applyBorder="1" applyAlignment="1">
      <alignment horizontal="center" vertical="center"/>
    </xf>
    <xf numFmtId="169" fontId="6" fillId="2" borderId="8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6" fillId="2" borderId="16" xfId="0" applyNumberFormat="1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168" fontId="3" fillId="9" borderId="1" xfId="0" applyNumberFormat="1" applyFont="1" applyFill="1" applyBorder="1" applyAlignment="1">
      <alignment horizontal="right" vertical="center"/>
    </xf>
    <xf numFmtId="168" fontId="3" fillId="9" borderId="2" xfId="0" applyNumberFormat="1" applyFont="1" applyFill="1" applyBorder="1" applyAlignment="1">
      <alignment horizontal="right" vertical="center"/>
    </xf>
    <xf numFmtId="168" fontId="12" fillId="9" borderId="1" xfId="0" applyNumberFormat="1" applyFont="1" applyFill="1" applyBorder="1" applyAlignment="1">
      <alignment horizontal="center" vertical="center"/>
    </xf>
    <xf numFmtId="168" fontId="12" fillId="9" borderId="3" xfId="0" applyNumberFormat="1" applyFont="1" applyFill="1" applyBorder="1" applyAlignment="1">
      <alignment horizontal="center" vertical="center"/>
    </xf>
    <xf numFmtId="168" fontId="3" fillId="10" borderId="1" xfId="0" applyNumberFormat="1" applyFont="1" applyFill="1" applyBorder="1" applyAlignment="1">
      <alignment horizontal="left" vertical="center"/>
    </xf>
    <xf numFmtId="168" fontId="3" fillId="10" borderId="3" xfId="0" applyNumberFormat="1" applyFont="1" applyFill="1" applyBorder="1" applyAlignment="1">
      <alignment horizontal="left" vertical="center"/>
    </xf>
    <xf numFmtId="168" fontId="3" fillId="12" borderId="20" xfId="0" applyNumberFormat="1" applyFont="1" applyFill="1" applyBorder="1" applyAlignment="1">
      <alignment horizontal="center" vertical="center"/>
    </xf>
    <xf numFmtId="168" fontId="3" fillId="12" borderId="2" xfId="0" applyNumberFormat="1" applyFont="1" applyFill="1" applyBorder="1" applyAlignment="1">
      <alignment horizontal="center" vertical="center"/>
    </xf>
    <xf numFmtId="168" fontId="3" fillId="12" borderId="3" xfId="0" applyNumberFormat="1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</cellXfs>
  <cellStyles count="2">
    <cellStyle name="Comma 2" xfId="1"/>
    <cellStyle name="Normal" xfId="0" builtinId="0"/>
  </cellStyles>
  <dxfs count="0"/>
  <tableStyles count="0" defaultTableStyle="TableStyleMedium9" defaultPivotStyle="PivotStyleLight16"/>
  <colors>
    <mruColors>
      <color rgb="FFE13B1F"/>
      <color rgb="FFFFFF66"/>
      <color rgb="FF002EC0"/>
      <color rgb="FF0033CC"/>
      <color rgb="FFB68D56"/>
      <color rgb="FF0039AC"/>
      <color rgb="FF0065B0"/>
      <color rgb="FFFFFF99"/>
      <color rgb="FF12199E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2"/>
  <sheetViews>
    <sheetView tabSelected="1" topLeftCell="A166" zoomScale="90" zoomScaleNormal="90" workbookViewId="0">
      <selection activeCell="J114" sqref="J114"/>
    </sheetView>
  </sheetViews>
  <sheetFormatPr defaultColWidth="9.109375" defaultRowHeight="20.399999999999999" x14ac:dyDescent="0.35"/>
  <cols>
    <col min="1" max="1" width="8.6640625" style="1" customWidth="1"/>
    <col min="2" max="2" width="15.109375" style="44" customWidth="1"/>
    <col min="3" max="3" width="14.6640625" style="17" customWidth="1"/>
    <col min="4" max="4" width="21.21875" style="8" customWidth="1"/>
    <col min="5" max="5" width="8.6640625" style="11" customWidth="1"/>
    <col min="6" max="6" width="8.109375" style="1" customWidth="1"/>
    <col min="7" max="7" width="13.44140625" style="11" customWidth="1"/>
    <col min="8" max="8" width="12.5546875" style="11" customWidth="1"/>
    <col min="9" max="9" width="15.44140625" style="11" customWidth="1"/>
    <col min="10" max="10" width="16.44140625" style="28" customWidth="1"/>
    <col min="11" max="11" width="10.33203125" style="11" customWidth="1"/>
    <col min="12" max="12" width="17.33203125" style="11" customWidth="1"/>
    <col min="13" max="13" width="16" style="11" customWidth="1"/>
    <col min="14" max="14" width="18.5546875" style="11" customWidth="1"/>
    <col min="15" max="15" width="27.109375" style="7" customWidth="1"/>
    <col min="16" max="16384" width="9.109375" style="1"/>
  </cols>
  <sheetData>
    <row r="1" spans="1:15" s="9" customFormat="1" ht="33" customHeight="1" thickBot="1" x14ac:dyDescent="0.45">
      <c r="A1" s="90" t="s">
        <v>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2"/>
    </row>
    <row r="2" spans="1:15" s="9" customFormat="1" ht="39.75" customHeight="1" thickBot="1" x14ac:dyDescent="0.45">
      <c r="A2" s="93" t="s">
        <v>39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5"/>
    </row>
    <row r="3" spans="1:15" s="9" customFormat="1" ht="39.75" customHeight="1" thickBot="1" x14ac:dyDescent="0.45">
      <c r="A3" s="96" t="s">
        <v>3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8"/>
    </row>
    <row r="4" spans="1:15" ht="30" customHeight="1" x14ac:dyDescent="0.35">
      <c r="A4" s="102" t="s">
        <v>22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4"/>
    </row>
    <row r="5" spans="1:15" ht="30" customHeight="1" thickBot="1" x14ac:dyDescent="0.4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7"/>
    </row>
    <row r="6" spans="1:15" s="4" customFormat="1" ht="38.25" customHeight="1" x14ac:dyDescent="0.35">
      <c r="A6" s="10" t="s">
        <v>2</v>
      </c>
      <c r="B6" s="88" t="s">
        <v>20</v>
      </c>
      <c r="C6" s="45" t="s">
        <v>19</v>
      </c>
      <c r="D6" s="48" t="s">
        <v>6</v>
      </c>
      <c r="E6" s="79" t="s">
        <v>7</v>
      </c>
      <c r="F6" s="81" t="s">
        <v>5</v>
      </c>
      <c r="G6" s="75" t="s">
        <v>4</v>
      </c>
      <c r="H6" s="75" t="s">
        <v>10</v>
      </c>
      <c r="I6" s="75" t="s">
        <v>11</v>
      </c>
      <c r="J6" s="77" t="s">
        <v>8</v>
      </c>
      <c r="K6" s="75" t="s">
        <v>16</v>
      </c>
      <c r="L6" s="75" t="s">
        <v>21</v>
      </c>
      <c r="M6" s="75" t="s">
        <v>48</v>
      </c>
      <c r="N6" s="75" t="s">
        <v>49</v>
      </c>
      <c r="O6" s="86" t="s">
        <v>9</v>
      </c>
    </row>
    <row r="7" spans="1:15" ht="28.5" customHeight="1" thickBot="1" x14ac:dyDescent="0.4">
      <c r="A7" s="74">
        <v>1</v>
      </c>
      <c r="B7" s="89"/>
      <c r="C7" s="46"/>
      <c r="D7" s="49" t="s">
        <v>45</v>
      </c>
      <c r="E7" s="80"/>
      <c r="F7" s="82"/>
      <c r="G7" s="76"/>
      <c r="H7" s="76"/>
      <c r="I7" s="76"/>
      <c r="J7" s="78"/>
      <c r="K7" s="76"/>
      <c r="L7" s="76"/>
      <c r="M7" s="76"/>
      <c r="N7" s="76"/>
      <c r="O7" s="87"/>
    </row>
    <row r="8" spans="1:15" ht="30" customHeight="1" x14ac:dyDescent="0.35">
      <c r="A8" s="54">
        <v>1</v>
      </c>
      <c r="B8" s="62">
        <v>46211</v>
      </c>
      <c r="C8" s="54">
        <v>7067</v>
      </c>
      <c r="D8" s="53" t="s">
        <v>46</v>
      </c>
      <c r="E8" s="54">
        <v>100</v>
      </c>
      <c r="F8" s="54">
        <v>16</v>
      </c>
      <c r="G8" s="54">
        <v>341</v>
      </c>
      <c r="H8" s="54">
        <v>341</v>
      </c>
      <c r="I8" s="54">
        <v>0</v>
      </c>
      <c r="J8" s="58">
        <v>46217</v>
      </c>
      <c r="K8" s="60">
        <v>31</v>
      </c>
      <c r="L8" s="60">
        <f t="shared" ref="L8:L13" si="0">+G8*K8</f>
        <v>10571</v>
      </c>
      <c r="M8" s="57">
        <f t="shared" ref="M8:M13" si="1">+K8*H8</f>
        <v>10571</v>
      </c>
      <c r="N8" s="60">
        <v>0</v>
      </c>
      <c r="O8" s="61" t="s">
        <v>23</v>
      </c>
    </row>
    <row r="9" spans="1:15" ht="30" customHeight="1" x14ac:dyDescent="0.35">
      <c r="A9" s="54">
        <v>2</v>
      </c>
      <c r="B9" s="62">
        <v>46211</v>
      </c>
      <c r="C9" s="54">
        <v>7064</v>
      </c>
      <c r="D9" s="53" t="s">
        <v>46</v>
      </c>
      <c r="E9" s="54">
        <v>100</v>
      </c>
      <c r="F9" s="54">
        <v>16</v>
      </c>
      <c r="G9" s="54">
        <v>328</v>
      </c>
      <c r="H9" s="54">
        <v>328</v>
      </c>
      <c r="I9" s="54">
        <v>0</v>
      </c>
      <c r="J9" s="58">
        <v>46217</v>
      </c>
      <c r="K9" s="60">
        <v>31</v>
      </c>
      <c r="L9" s="60">
        <f t="shared" si="0"/>
        <v>10168</v>
      </c>
      <c r="M9" s="57">
        <f t="shared" si="1"/>
        <v>10168</v>
      </c>
      <c r="N9" s="60">
        <v>0</v>
      </c>
      <c r="O9" s="61" t="s">
        <v>23</v>
      </c>
    </row>
    <row r="10" spans="1:15" ht="30" customHeight="1" x14ac:dyDescent="0.35">
      <c r="A10" s="54">
        <v>3</v>
      </c>
      <c r="B10" s="62">
        <v>46211</v>
      </c>
      <c r="C10" s="54">
        <v>7070</v>
      </c>
      <c r="D10" s="53" t="s">
        <v>46</v>
      </c>
      <c r="E10" s="54">
        <v>100</v>
      </c>
      <c r="F10" s="54">
        <v>16</v>
      </c>
      <c r="G10" s="54">
        <v>339</v>
      </c>
      <c r="H10" s="54">
        <v>339</v>
      </c>
      <c r="I10" s="54">
        <v>0</v>
      </c>
      <c r="J10" s="58">
        <v>46217</v>
      </c>
      <c r="K10" s="60">
        <v>31</v>
      </c>
      <c r="L10" s="60">
        <f t="shared" si="0"/>
        <v>10509</v>
      </c>
      <c r="M10" s="57">
        <f t="shared" si="1"/>
        <v>10509</v>
      </c>
      <c r="N10" s="60">
        <v>0</v>
      </c>
      <c r="O10" s="61" t="s">
        <v>23</v>
      </c>
    </row>
    <row r="11" spans="1:15" ht="30" customHeight="1" x14ac:dyDescent="0.35">
      <c r="A11" s="54">
        <v>4</v>
      </c>
      <c r="B11" s="62">
        <v>46211</v>
      </c>
      <c r="C11" s="54">
        <v>7073</v>
      </c>
      <c r="D11" s="53" t="s">
        <v>46</v>
      </c>
      <c r="E11" s="54">
        <v>100</v>
      </c>
      <c r="F11" s="54">
        <v>16</v>
      </c>
      <c r="G11" s="54">
        <v>319</v>
      </c>
      <c r="H11" s="54">
        <v>319</v>
      </c>
      <c r="I11" s="54">
        <v>0</v>
      </c>
      <c r="J11" s="58">
        <v>46217</v>
      </c>
      <c r="K11" s="60">
        <v>31</v>
      </c>
      <c r="L11" s="60">
        <f t="shared" si="0"/>
        <v>9889</v>
      </c>
      <c r="M11" s="57">
        <f t="shared" si="1"/>
        <v>9889</v>
      </c>
      <c r="N11" s="60">
        <v>0</v>
      </c>
      <c r="O11" s="61" t="s">
        <v>23</v>
      </c>
    </row>
    <row r="12" spans="1:15" ht="30" customHeight="1" x14ac:dyDescent="0.35">
      <c r="A12" s="54">
        <v>5</v>
      </c>
      <c r="B12" s="62">
        <v>46211</v>
      </c>
      <c r="C12" s="54">
        <v>7170</v>
      </c>
      <c r="D12" s="53" t="s">
        <v>46</v>
      </c>
      <c r="E12" s="54">
        <v>100</v>
      </c>
      <c r="F12" s="54">
        <v>16</v>
      </c>
      <c r="G12" s="54">
        <v>345</v>
      </c>
      <c r="H12" s="54">
        <v>345</v>
      </c>
      <c r="I12" s="54">
        <v>0</v>
      </c>
      <c r="J12" s="58">
        <v>46217</v>
      </c>
      <c r="K12" s="60">
        <v>31</v>
      </c>
      <c r="L12" s="60">
        <f t="shared" si="0"/>
        <v>10695</v>
      </c>
      <c r="M12" s="57">
        <f t="shared" si="1"/>
        <v>10695</v>
      </c>
      <c r="N12" s="60">
        <v>0</v>
      </c>
      <c r="O12" s="61" t="s">
        <v>23</v>
      </c>
    </row>
    <row r="13" spans="1:15" ht="30" customHeight="1" x14ac:dyDescent="0.35">
      <c r="A13" s="54">
        <v>6</v>
      </c>
      <c r="B13" s="62">
        <v>46211</v>
      </c>
      <c r="C13" s="54">
        <v>7169</v>
      </c>
      <c r="D13" s="53" t="s">
        <v>46</v>
      </c>
      <c r="E13" s="54">
        <v>100</v>
      </c>
      <c r="F13" s="54">
        <v>16</v>
      </c>
      <c r="G13" s="54">
        <v>350</v>
      </c>
      <c r="H13" s="54">
        <v>350</v>
      </c>
      <c r="I13" s="54">
        <v>0</v>
      </c>
      <c r="J13" s="58">
        <v>46217</v>
      </c>
      <c r="K13" s="60">
        <v>31</v>
      </c>
      <c r="L13" s="60">
        <f t="shared" si="0"/>
        <v>10850</v>
      </c>
      <c r="M13" s="57">
        <f t="shared" si="1"/>
        <v>10850</v>
      </c>
      <c r="N13" s="60">
        <v>0</v>
      </c>
      <c r="O13" s="61" t="s">
        <v>23</v>
      </c>
    </row>
    <row r="14" spans="1:15" ht="30" customHeight="1" x14ac:dyDescent="0.35">
      <c r="A14" s="54">
        <v>7</v>
      </c>
      <c r="B14" s="62">
        <v>46237</v>
      </c>
      <c r="C14" s="54">
        <v>10650</v>
      </c>
      <c r="D14" s="53" t="s">
        <v>54</v>
      </c>
      <c r="E14" s="54">
        <v>100</v>
      </c>
      <c r="F14" s="54">
        <v>16</v>
      </c>
      <c r="G14" s="54">
        <v>355</v>
      </c>
      <c r="H14" s="52">
        <v>355</v>
      </c>
      <c r="I14" s="54">
        <v>0</v>
      </c>
      <c r="J14" s="58">
        <v>46238</v>
      </c>
      <c r="K14" s="60">
        <v>32</v>
      </c>
      <c r="L14" s="60">
        <f>+G14*K14</f>
        <v>11360</v>
      </c>
      <c r="M14" s="60">
        <f>+K14*H14</f>
        <v>11360</v>
      </c>
      <c r="N14" s="60">
        <v>0</v>
      </c>
      <c r="O14" s="61" t="s">
        <v>23</v>
      </c>
    </row>
    <row r="15" spans="1:15" ht="30" customHeight="1" x14ac:dyDescent="0.35">
      <c r="A15" s="54">
        <v>8</v>
      </c>
      <c r="B15" s="62">
        <v>46237</v>
      </c>
      <c r="C15" s="54">
        <v>10651</v>
      </c>
      <c r="D15" s="53" t="s">
        <v>54</v>
      </c>
      <c r="E15" s="54">
        <v>100</v>
      </c>
      <c r="F15" s="54">
        <v>16</v>
      </c>
      <c r="G15" s="54">
        <v>340</v>
      </c>
      <c r="H15" s="52">
        <v>340</v>
      </c>
      <c r="I15" s="54">
        <v>0</v>
      </c>
      <c r="J15" s="58">
        <v>46239</v>
      </c>
      <c r="K15" s="60">
        <v>32</v>
      </c>
      <c r="L15" s="60">
        <f t="shared" ref="L15:L29" si="2">+G15*K15</f>
        <v>10880</v>
      </c>
      <c r="M15" s="60">
        <f t="shared" ref="M15:M21" si="3">+K15*H15</f>
        <v>10880</v>
      </c>
      <c r="N15" s="60">
        <v>0</v>
      </c>
      <c r="O15" s="61" t="s">
        <v>23</v>
      </c>
    </row>
    <row r="16" spans="1:15" ht="30" customHeight="1" x14ac:dyDescent="0.35">
      <c r="A16" s="54">
        <v>9</v>
      </c>
      <c r="B16" s="62">
        <v>46237</v>
      </c>
      <c r="C16" s="54">
        <v>10659</v>
      </c>
      <c r="D16" s="53" t="s">
        <v>54</v>
      </c>
      <c r="E16" s="54">
        <v>100</v>
      </c>
      <c r="F16" s="54">
        <v>16</v>
      </c>
      <c r="G16" s="54">
        <v>365</v>
      </c>
      <c r="H16" s="52">
        <v>365</v>
      </c>
      <c r="I16" s="54">
        <v>0</v>
      </c>
      <c r="J16" s="58">
        <v>46240</v>
      </c>
      <c r="K16" s="60">
        <v>32</v>
      </c>
      <c r="L16" s="60">
        <f t="shared" si="2"/>
        <v>11680</v>
      </c>
      <c r="M16" s="60">
        <f t="shared" si="3"/>
        <v>11680</v>
      </c>
      <c r="N16" s="60">
        <v>0</v>
      </c>
      <c r="O16" s="61" t="s">
        <v>23</v>
      </c>
    </row>
    <row r="17" spans="1:15" ht="30" customHeight="1" x14ac:dyDescent="0.35">
      <c r="A17" s="54">
        <v>10</v>
      </c>
      <c r="B17" s="62">
        <v>46237</v>
      </c>
      <c r="C17" s="54">
        <v>10660</v>
      </c>
      <c r="D17" s="53" t="s">
        <v>54</v>
      </c>
      <c r="E17" s="54">
        <v>100</v>
      </c>
      <c r="F17" s="54">
        <v>16</v>
      </c>
      <c r="G17" s="54">
        <v>353</v>
      </c>
      <c r="H17" s="52">
        <v>353</v>
      </c>
      <c r="I17" s="54">
        <v>0</v>
      </c>
      <c r="J17" s="58">
        <v>46238</v>
      </c>
      <c r="K17" s="60">
        <v>32</v>
      </c>
      <c r="L17" s="60">
        <f t="shared" si="2"/>
        <v>11296</v>
      </c>
      <c r="M17" s="60">
        <f t="shared" si="3"/>
        <v>11296</v>
      </c>
      <c r="N17" s="60">
        <v>0</v>
      </c>
      <c r="O17" s="61" t="s">
        <v>23</v>
      </c>
    </row>
    <row r="18" spans="1:15" ht="30" customHeight="1" x14ac:dyDescent="0.35">
      <c r="A18" s="54">
        <v>11</v>
      </c>
      <c r="B18" s="62">
        <v>46237</v>
      </c>
      <c r="C18" s="54">
        <v>10662</v>
      </c>
      <c r="D18" s="53" t="s">
        <v>54</v>
      </c>
      <c r="E18" s="54">
        <v>100</v>
      </c>
      <c r="F18" s="54">
        <v>16</v>
      </c>
      <c r="G18" s="54">
        <v>338</v>
      </c>
      <c r="H18" s="52">
        <v>338</v>
      </c>
      <c r="I18" s="54">
        <v>0</v>
      </c>
      <c r="J18" s="58">
        <v>46239</v>
      </c>
      <c r="K18" s="60">
        <v>32</v>
      </c>
      <c r="L18" s="60">
        <f t="shared" si="2"/>
        <v>10816</v>
      </c>
      <c r="M18" s="60">
        <f t="shared" si="3"/>
        <v>10816</v>
      </c>
      <c r="N18" s="60">
        <v>0</v>
      </c>
      <c r="O18" s="61" t="s">
        <v>23</v>
      </c>
    </row>
    <row r="19" spans="1:15" ht="30" customHeight="1" x14ac:dyDescent="0.35">
      <c r="A19" s="54">
        <v>12</v>
      </c>
      <c r="B19" s="62">
        <v>46237</v>
      </c>
      <c r="C19" s="54">
        <v>10663</v>
      </c>
      <c r="D19" s="53" t="s">
        <v>54</v>
      </c>
      <c r="E19" s="54">
        <v>100</v>
      </c>
      <c r="F19" s="54">
        <v>16</v>
      </c>
      <c r="G19" s="54">
        <v>327</v>
      </c>
      <c r="H19" s="52">
        <v>327</v>
      </c>
      <c r="I19" s="54">
        <v>53</v>
      </c>
      <c r="J19" s="58">
        <v>46239</v>
      </c>
      <c r="K19" s="60">
        <v>32</v>
      </c>
      <c r="L19" s="60">
        <f t="shared" si="2"/>
        <v>10464</v>
      </c>
      <c r="M19" s="60">
        <f t="shared" si="3"/>
        <v>10464</v>
      </c>
      <c r="N19" s="60">
        <v>0</v>
      </c>
      <c r="O19" s="61" t="s">
        <v>23</v>
      </c>
    </row>
    <row r="20" spans="1:15" ht="30" customHeight="1" x14ac:dyDescent="0.35">
      <c r="A20" s="23">
        <v>13</v>
      </c>
      <c r="B20" s="40">
        <v>46237</v>
      </c>
      <c r="C20" s="23">
        <v>10665</v>
      </c>
      <c r="D20" s="14" t="s">
        <v>54</v>
      </c>
      <c r="E20" s="23">
        <v>100</v>
      </c>
      <c r="F20" s="23">
        <v>16</v>
      </c>
      <c r="G20" s="23">
        <v>351</v>
      </c>
      <c r="H20" s="29"/>
      <c r="I20" s="23"/>
      <c r="J20" s="2"/>
      <c r="K20" s="33">
        <v>32</v>
      </c>
      <c r="L20" s="38">
        <f t="shared" si="2"/>
        <v>11232</v>
      </c>
      <c r="M20" s="38">
        <f t="shared" si="3"/>
        <v>0</v>
      </c>
      <c r="N20" s="38">
        <f t="shared" ref="N20" si="4">+K20*G20</f>
        <v>11232</v>
      </c>
      <c r="O20" s="22" t="s">
        <v>23</v>
      </c>
    </row>
    <row r="21" spans="1:15" ht="30" customHeight="1" x14ac:dyDescent="0.35">
      <c r="A21" s="54">
        <v>14</v>
      </c>
      <c r="B21" s="62">
        <v>46237</v>
      </c>
      <c r="C21" s="54">
        <v>10666</v>
      </c>
      <c r="D21" s="53" t="s">
        <v>54</v>
      </c>
      <c r="E21" s="54">
        <v>100</v>
      </c>
      <c r="F21" s="54">
        <v>16</v>
      </c>
      <c r="G21" s="54">
        <v>342</v>
      </c>
      <c r="H21" s="52">
        <v>342</v>
      </c>
      <c r="I21" s="54">
        <v>49</v>
      </c>
      <c r="J21" s="58">
        <v>46240</v>
      </c>
      <c r="K21" s="60">
        <v>32</v>
      </c>
      <c r="L21" s="60">
        <f t="shared" si="2"/>
        <v>10944</v>
      </c>
      <c r="M21" s="60">
        <f t="shared" si="3"/>
        <v>10944</v>
      </c>
      <c r="N21" s="60">
        <v>0</v>
      </c>
      <c r="O21" s="61" t="s">
        <v>23</v>
      </c>
    </row>
    <row r="22" spans="1:15" ht="30" customHeight="1" x14ac:dyDescent="0.35">
      <c r="A22" s="23">
        <v>15</v>
      </c>
      <c r="B22" s="40"/>
      <c r="C22" s="23"/>
      <c r="D22" s="14"/>
      <c r="E22" s="23"/>
      <c r="F22" s="23"/>
      <c r="G22" s="23"/>
      <c r="H22" s="29"/>
      <c r="I22" s="23"/>
      <c r="J22" s="2"/>
      <c r="K22" s="33"/>
      <c r="L22" s="38">
        <f t="shared" si="2"/>
        <v>0</v>
      </c>
      <c r="M22" s="38"/>
      <c r="N22" s="38"/>
      <c r="O22" s="22"/>
    </row>
    <row r="23" spans="1:15" ht="30" customHeight="1" x14ac:dyDescent="0.35">
      <c r="A23" s="23">
        <v>16</v>
      </c>
      <c r="B23" s="40"/>
      <c r="C23" s="23"/>
      <c r="D23" s="14"/>
      <c r="E23" s="23"/>
      <c r="F23" s="23"/>
      <c r="G23" s="23"/>
      <c r="H23" s="29"/>
      <c r="I23" s="23"/>
      <c r="J23" s="2"/>
      <c r="K23" s="33"/>
      <c r="L23" s="38">
        <f t="shared" si="2"/>
        <v>0</v>
      </c>
      <c r="M23" s="38"/>
      <c r="N23" s="38"/>
      <c r="O23" s="22"/>
    </row>
    <row r="24" spans="1:15" ht="30" customHeight="1" x14ac:dyDescent="0.35">
      <c r="A24" s="23">
        <v>17</v>
      </c>
      <c r="B24" s="40"/>
      <c r="C24" s="23"/>
      <c r="D24" s="14"/>
      <c r="E24" s="23"/>
      <c r="F24" s="23"/>
      <c r="G24" s="23"/>
      <c r="H24" s="29"/>
      <c r="I24" s="23"/>
      <c r="J24" s="2"/>
      <c r="K24" s="33"/>
      <c r="L24" s="38">
        <f t="shared" si="2"/>
        <v>0</v>
      </c>
      <c r="M24" s="38"/>
      <c r="N24" s="38"/>
      <c r="O24" s="22"/>
    </row>
    <row r="25" spans="1:15" ht="30" customHeight="1" x14ac:dyDescent="0.35">
      <c r="A25" s="23">
        <v>18</v>
      </c>
      <c r="B25" s="40"/>
      <c r="C25" s="23"/>
      <c r="D25" s="14"/>
      <c r="E25" s="23"/>
      <c r="F25" s="23"/>
      <c r="G25" s="23"/>
      <c r="H25" s="29"/>
      <c r="I25" s="23"/>
      <c r="J25" s="2"/>
      <c r="K25" s="33"/>
      <c r="L25" s="38">
        <f t="shared" si="2"/>
        <v>0</v>
      </c>
      <c r="M25" s="38"/>
      <c r="N25" s="38"/>
      <c r="O25" s="22"/>
    </row>
    <row r="26" spans="1:15" ht="30" customHeight="1" x14ac:dyDescent="0.35">
      <c r="A26" s="23">
        <v>19</v>
      </c>
      <c r="B26" s="40"/>
      <c r="C26" s="23"/>
      <c r="D26" s="14"/>
      <c r="E26" s="23"/>
      <c r="F26" s="23"/>
      <c r="G26" s="23"/>
      <c r="H26" s="29"/>
      <c r="I26" s="23"/>
      <c r="J26" s="2"/>
      <c r="K26" s="33"/>
      <c r="L26" s="38">
        <f t="shared" si="2"/>
        <v>0</v>
      </c>
      <c r="M26" s="38"/>
      <c r="N26" s="38"/>
      <c r="O26" s="22"/>
    </row>
    <row r="27" spans="1:15" ht="30" customHeight="1" x14ac:dyDescent="0.35">
      <c r="A27" s="23">
        <v>20</v>
      </c>
      <c r="B27" s="40"/>
      <c r="C27" s="23"/>
      <c r="D27" s="14"/>
      <c r="E27" s="23"/>
      <c r="F27" s="23"/>
      <c r="G27" s="23"/>
      <c r="H27" s="29"/>
      <c r="I27" s="23"/>
      <c r="J27" s="2"/>
      <c r="K27" s="33"/>
      <c r="L27" s="38">
        <f t="shared" si="2"/>
        <v>0</v>
      </c>
      <c r="M27" s="38"/>
      <c r="N27" s="38"/>
      <c r="O27" s="22"/>
    </row>
    <row r="28" spans="1:15" ht="30" customHeight="1" x14ac:dyDescent="0.35">
      <c r="A28" s="23"/>
      <c r="B28" s="40"/>
      <c r="C28" s="23"/>
      <c r="D28" s="14"/>
      <c r="E28" s="23"/>
      <c r="F28" s="23"/>
      <c r="G28" s="23"/>
      <c r="H28" s="29"/>
      <c r="I28" s="23"/>
      <c r="J28" s="2"/>
      <c r="K28" s="33"/>
      <c r="L28" s="38">
        <f t="shared" si="2"/>
        <v>0</v>
      </c>
      <c r="M28" s="38"/>
      <c r="N28" s="38"/>
      <c r="O28" s="22"/>
    </row>
    <row r="29" spans="1:15" ht="30" customHeight="1" thickBot="1" x14ac:dyDescent="0.4">
      <c r="A29" s="23"/>
      <c r="B29" s="40"/>
      <c r="C29" s="23"/>
      <c r="D29" s="14"/>
      <c r="E29" s="23"/>
      <c r="F29" s="23"/>
      <c r="G29" s="23"/>
      <c r="H29" s="29"/>
      <c r="I29" s="23"/>
      <c r="J29" s="2"/>
      <c r="K29" s="33"/>
      <c r="L29" s="38">
        <f t="shared" si="2"/>
        <v>0</v>
      </c>
      <c r="M29" s="38"/>
      <c r="N29" s="38"/>
      <c r="O29" s="22"/>
    </row>
    <row r="30" spans="1:15" ht="30" customHeight="1" thickBot="1" x14ac:dyDescent="0.4">
      <c r="A30" s="83" t="s">
        <v>12</v>
      </c>
      <c r="B30" s="84"/>
      <c r="C30" s="84"/>
      <c r="D30" s="84"/>
      <c r="E30" s="84"/>
      <c r="F30" s="85"/>
      <c r="G30" s="18">
        <f>+SUM(G6:G29)</f>
        <v>4793</v>
      </c>
      <c r="H30" s="18">
        <f>+SUM(H6:H29)</f>
        <v>4442</v>
      </c>
      <c r="I30" s="21">
        <f>+G30-H30</f>
        <v>351</v>
      </c>
      <c r="J30" s="36"/>
      <c r="K30" s="35"/>
      <c r="L30" s="34">
        <f>+SUM(L6:L29)</f>
        <v>151354</v>
      </c>
      <c r="M30" s="34"/>
      <c r="N30" s="67">
        <f>SUM(N8:N29)</f>
        <v>11232</v>
      </c>
      <c r="O30" s="3"/>
    </row>
    <row r="31" spans="1:15" s="9" customFormat="1" ht="39.75" customHeight="1" thickBot="1" x14ac:dyDescent="0.45">
      <c r="A31" s="99" t="s">
        <v>50</v>
      </c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1"/>
    </row>
    <row r="32" spans="1:15" s="4" customFormat="1" ht="38.25" customHeight="1" x14ac:dyDescent="0.35">
      <c r="A32" s="10" t="s">
        <v>2</v>
      </c>
      <c r="B32" s="88" t="s">
        <v>20</v>
      </c>
      <c r="C32" s="79" t="s">
        <v>19</v>
      </c>
      <c r="D32" s="48" t="s">
        <v>6</v>
      </c>
      <c r="E32" s="79" t="s">
        <v>7</v>
      </c>
      <c r="F32" s="81" t="s">
        <v>5</v>
      </c>
      <c r="G32" s="75" t="s">
        <v>4</v>
      </c>
      <c r="H32" s="75" t="s">
        <v>10</v>
      </c>
      <c r="I32" s="75" t="s">
        <v>11</v>
      </c>
      <c r="J32" s="77" t="s">
        <v>8</v>
      </c>
      <c r="K32" s="75" t="s">
        <v>16</v>
      </c>
      <c r="L32" s="75" t="s">
        <v>21</v>
      </c>
      <c r="M32" s="75" t="s">
        <v>48</v>
      </c>
      <c r="N32" s="75" t="s">
        <v>49</v>
      </c>
      <c r="O32" s="86" t="s">
        <v>9</v>
      </c>
    </row>
    <row r="33" spans="1:15" ht="32.4" customHeight="1" thickBot="1" x14ac:dyDescent="0.4">
      <c r="A33" s="74">
        <v>1</v>
      </c>
      <c r="B33" s="89"/>
      <c r="C33" s="80"/>
      <c r="D33" s="64" t="s">
        <v>40</v>
      </c>
      <c r="E33" s="80"/>
      <c r="F33" s="82"/>
      <c r="G33" s="76"/>
      <c r="H33" s="76"/>
      <c r="I33" s="76"/>
      <c r="J33" s="78"/>
      <c r="K33" s="76"/>
      <c r="L33" s="76"/>
      <c r="M33" s="76"/>
      <c r="N33" s="76"/>
      <c r="O33" s="87"/>
    </row>
    <row r="34" spans="1:15" s="12" customFormat="1" ht="28.5" customHeight="1" x14ac:dyDescent="0.35">
      <c r="A34" s="50">
        <v>1</v>
      </c>
      <c r="B34" s="51">
        <v>46194</v>
      </c>
      <c r="C34" s="52">
        <v>62933</v>
      </c>
      <c r="D34" s="53" t="s">
        <v>41</v>
      </c>
      <c r="E34" s="52">
        <v>120</v>
      </c>
      <c r="F34" s="54">
        <v>16</v>
      </c>
      <c r="G34" s="52">
        <v>614</v>
      </c>
      <c r="H34" s="52">
        <v>614</v>
      </c>
      <c r="I34" s="55">
        <v>0</v>
      </c>
      <c r="J34" s="59">
        <v>46195</v>
      </c>
      <c r="K34" s="57">
        <v>35</v>
      </c>
      <c r="L34" s="57">
        <f t="shared" ref="L34:L50" si="5">+G34*K34</f>
        <v>21490</v>
      </c>
      <c r="M34" s="57">
        <v>21490</v>
      </c>
      <c r="N34" s="57">
        <f>L34-M34</f>
        <v>0</v>
      </c>
      <c r="O34" s="58" t="s">
        <v>24</v>
      </c>
    </row>
    <row r="35" spans="1:15" s="12" customFormat="1" ht="28.5" customHeight="1" x14ac:dyDescent="0.35">
      <c r="A35" s="50">
        <v>2</v>
      </c>
      <c r="B35" s="51">
        <v>46194</v>
      </c>
      <c r="C35" s="52">
        <v>63808</v>
      </c>
      <c r="D35" s="53" t="s">
        <v>41</v>
      </c>
      <c r="E35" s="52">
        <v>120</v>
      </c>
      <c r="F35" s="54">
        <v>16</v>
      </c>
      <c r="G35" s="52">
        <v>664</v>
      </c>
      <c r="H35" s="52">
        <v>664</v>
      </c>
      <c r="I35" s="55">
        <v>0</v>
      </c>
      <c r="J35" s="59">
        <v>46195</v>
      </c>
      <c r="K35" s="57">
        <v>35</v>
      </c>
      <c r="L35" s="57">
        <f t="shared" si="5"/>
        <v>23240</v>
      </c>
      <c r="M35" s="57">
        <v>23240</v>
      </c>
      <c r="N35" s="57">
        <f t="shared" ref="N35:N36" si="6">L35-M35</f>
        <v>0</v>
      </c>
      <c r="O35" s="58" t="s">
        <v>24</v>
      </c>
    </row>
    <row r="36" spans="1:15" s="12" customFormat="1" ht="28.5" customHeight="1" x14ac:dyDescent="0.35">
      <c r="A36" s="50">
        <v>3</v>
      </c>
      <c r="B36" s="51">
        <v>46194</v>
      </c>
      <c r="C36" s="52">
        <v>63814</v>
      </c>
      <c r="D36" s="53" t="s">
        <v>41</v>
      </c>
      <c r="E36" s="52">
        <v>120</v>
      </c>
      <c r="F36" s="54">
        <v>16</v>
      </c>
      <c r="G36" s="52">
        <v>620</v>
      </c>
      <c r="H36" s="52">
        <v>620</v>
      </c>
      <c r="I36" s="55">
        <v>0</v>
      </c>
      <c r="J36" s="59">
        <v>46195</v>
      </c>
      <c r="K36" s="57">
        <v>35</v>
      </c>
      <c r="L36" s="57">
        <f t="shared" si="5"/>
        <v>21700</v>
      </c>
      <c r="M36" s="57">
        <v>21700</v>
      </c>
      <c r="N36" s="57">
        <f t="shared" si="6"/>
        <v>0</v>
      </c>
      <c r="O36" s="58" t="s">
        <v>24</v>
      </c>
    </row>
    <row r="37" spans="1:15" s="12" customFormat="1" ht="28.5" customHeight="1" x14ac:dyDescent="0.35">
      <c r="A37" s="50">
        <v>4</v>
      </c>
      <c r="B37" s="51">
        <v>46194</v>
      </c>
      <c r="C37" s="52">
        <v>63817</v>
      </c>
      <c r="D37" s="53" t="s">
        <v>41</v>
      </c>
      <c r="E37" s="52">
        <v>120</v>
      </c>
      <c r="F37" s="54">
        <v>16</v>
      </c>
      <c r="G37" s="52">
        <v>588</v>
      </c>
      <c r="H37" s="52">
        <v>588</v>
      </c>
      <c r="I37" s="55">
        <v>0</v>
      </c>
      <c r="J37" s="59">
        <v>46258</v>
      </c>
      <c r="K37" s="57">
        <v>35</v>
      </c>
      <c r="L37" s="57">
        <f>+G37*K37</f>
        <v>20580</v>
      </c>
      <c r="M37" s="57">
        <f>+K37*H37</f>
        <v>20580</v>
      </c>
      <c r="N37" s="57">
        <f>L37-M37</f>
        <v>0</v>
      </c>
      <c r="O37" s="58" t="s">
        <v>24</v>
      </c>
    </row>
    <row r="38" spans="1:15" s="12" customFormat="1" ht="28.5" customHeight="1" x14ac:dyDescent="0.35">
      <c r="A38" s="50">
        <v>5</v>
      </c>
      <c r="B38" s="51">
        <v>46194</v>
      </c>
      <c r="C38" s="52">
        <v>63826</v>
      </c>
      <c r="D38" s="53" t="s">
        <v>41</v>
      </c>
      <c r="E38" s="52">
        <v>120</v>
      </c>
      <c r="F38" s="54">
        <v>16</v>
      </c>
      <c r="G38" s="52">
        <v>625</v>
      </c>
      <c r="H38" s="52">
        <v>625</v>
      </c>
      <c r="I38" s="55">
        <v>0</v>
      </c>
      <c r="J38" s="59">
        <v>46258</v>
      </c>
      <c r="K38" s="57">
        <v>35</v>
      </c>
      <c r="L38" s="57">
        <f>+G38*K38</f>
        <v>21875</v>
      </c>
      <c r="M38" s="57">
        <f>+K38*H38</f>
        <v>21875</v>
      </c>
      <c r="N38" s="57">
        <f>L38-M38</f>
        <v>0</v>
      </c>
      <c r="O38" s="58" t="s">
        <v>24</v>
      </c>
    </row>
    <row r="39" spans="1:15" s="12" customFormat="1" ht="28.5" customHeight="1" x14ac:dyDescent="0.35">
      <c r="A39" s="50">
        <v>6</v>
      </c>
      <c r="B39" s="51">
        <v>46194</v>
      </c>
      <c r="C39" s="52">
        <v>63829</v>
      </c>
      <c r="D39" s="53" t="s">
        <v>41</v>
      </c>
      <c r="E39" s="52">
        <v>120</v>
      </c>
      <c r="F39" s="54">
        <v>16</v>
      </c>
      <c r="G39" s="52">
        <v>620</v>
      </c>
      <c r="H39" s="52">
        <v>620</v>
      </c>
      <c r="I39" s="55">
        <v>0</v>
      </c>
      <c r="J39" s="59">
        <v>46195</v>
      </c>
      <c r="K39" s="57">
        <v>35</v>
      </c>
      <c r="L39" s="57">
        <f t="shared" si="5"/>
        <v>21700</v>
      </c>
      <c r="M39" s="57">
        <v>21700</v>
      </c>
      <c r="N39" s="57">
        <f t="shared" ref="N39:N45" si="7">L39-M39</f>
        <v>0</v>
      </c>
      <c r="O39" s="58" t="s">
        <v>24</v>
      </c>
    </row>
    <row r="40" spans="1:15" s="12" customFormat="1" ht="28.5" customHeight="1" x14ac:dyDescent="0.35">
      <c r="A40" s="50">
        <v>7</v>
      </c>
      <c r="B40" s="51">
        <v>46197</v>
      </c>
      <c r="C40" s="52">
        <v>27815</v>
      </c>
      <c r="D40" s="53" t="s">
        <v>41</v>
      </c>
      <c r="E40" s="52">
        <v>120</v>
      </c>
      <c r="F40" s="54">
        <v>18</v>
      </c>
      <c r="G40" s="52">
        <v>797</v>
      </c>
      <c r="H40" s="52">
        <v>797</v>
      </c>
      <c r="I40" s="55">
        <v>0</v>
      </c>
      <c r="J40" s="59">
        <v>46230</v>
      </c>
      <c r="K40" s="57">
        <v>35.5</v>
      </c>
      <c r="L40" s="57">
        <f t="shared" si="5"/>
        <v>28293.5</v>
      </c>
      <c r="M40" s="57">
        <v>28293.5</v>
      </c>
      <c r="N40" s="57">
        <f t="shared" si="7"/>
        <v>0</v>
      </c>
      <c r="O40" s="58" t="s">
        <v>25</v>
      </c>
    </row>
    <row r="41" spans="1:15" s="12" customFormat="1" ht="28.5" customHeight="1" x14ac:dyDescent="0.35">
      <c r="A41" s="50">
        <v>8</v>
      </c>
      <c r="B41" s="51">
        <v>46197</v>
      </c>
      <c r="C41" s="52">
        <v>27819</v>
      </c>
      <c r="D41" s="53" t="s">
        <v>41</v>
      </c>
      <c r="E41" s="52">
        <v>120</v>
      </c>
      <c r="F41" s="54">
        <v>18</v>
      </c>
      <c r="G41" s="52">
        <v>729</v>
      </c>
      <c r="H41" s="52">
        <v>729</v>
      </c>
      <c r="I41" s="55">
        <v>0</v>
      </c>
      <c r="J41" s="59">
        <v>46210</v>
      </c>
      <c r="K41" s="57">
        <v>35.5</v>
      </c>
      <c r="L41" s="57">
        <f t="shared" si="5"/>
        <v>25879.5</v>
      </c>
      <c r="M41" s="57">
        <v>25879.5</v>
      </c>
      <c r="N41" s="57">
        <f t="shared" si="7"/>
        <v>0</v>
      </c>
      <c r="O41" s="58" t="s">
        <v>25</v>
      </c>
    </row>
    <row r="42" spans="1:15" s="12" customFormat="1" ht="28.5" customHeight="1" x14ac:dyDescent="0.35">
      <c r="A42" s="50">
        <v>9</v>
      </c>
      <c r="B42" s="51">
        <v>46197</v>
      </c>
      <c r="C42" s="52">
        <v>27823</v>
      </c>
      <c r="D42" s="53" t="s">
        <v>41</v>
      </c>
      <c r="E42" s="52">
        <v>120</v>
      </c>
      <c r="F42" s="54">
        <v>18</v>
      </c>
      <c r="G42" s="52">
        <v>746</v>
      </c>
      <c r="H42" s="52">
        <v>746</v>
      </c>
      <c r="I42" s="55">
        <v>0</v>
      </c>
      <c r="J42" s="59">
        <v>46230</v>
      </c>
      <c r="K42" s="57">
        <v>35.5</v>
      </c>
      <c r="L42" s="57">
        <f t="shared" si="5"/>
        <v>26483</v>
      </c>
      <c r="M42" s="57">
        <v>26483</v>
      </c>
      <c r="N42" s="57">
        <f t="shared" si="7"/>
        <v>0</v>
      </c>
      <c r="O42" s="58" t="s">
        <v>25</v>
      </c>
    </row>
    <row r="43" spans="1:15" s="12" customFormat="1" ht="28.5" customHeight="1" x14ac:dyDescent="0.35">
      <c r="A43" s="50">
        <v>10</v>
      </c>
      <c r="B43" s="51">
        <v>46197</v>
      </c>
      <c r="C43" s="52">
        <v>27827</v>
      </c>
      <c r="D43" s="53" t="s">
        <v>41</v>
      </c>
      <c r="E43" s="52">
        <v>120</v>
      </c>
      <c r="F43" s="54">
        <v>18</v>
      </c>
      <c r="G43" s="52">
        <v>752</v>
      </c>
      <c r="H43" s="52">
        <v>752</v>
      </c>
      <c r="I43" s="55">
        <v>0</v>
      </c>
      <c r="J43" s="59">
        <v>46199</v>
      </c>
      <c r="K43" s="57">
        <v>35.5</v>
      </c>
      <c r="L43" s="57">
        <f t="shared" si="5"/>
        <v>26696</v>
      </c>
      <c r="M43" s="57">
        <v>26696</v>
      </c>
      <c r="N43" s="57">
        <f t="shared" si="7"/>
        <v>0</v>
      </c>
      <c r="O43" s="58" t="s">
        <v>25</v>
      </c>
    </row>
    <row r="44" spans="1:15" s="12" customFormat="1" ht="28.5" customHeight="1" x14ac:dyDescent="0.35">
      <c r="A44" s="50">
        <v>11</v>
      </c>
      <c r="B44" s="51">
        <v>46197</v>
      </c>
      <c r="C44" s="52">
        <v>27873</v>
      </c>
      <c r="D44" s="53" t="s">
        <v>41</v>
      </c>
      <c r="E44" s="52">
        <v>120</v>
      </c>
      <c r="F44" s="54">
        <v>18</v>
      </c>
      <c r="G44" s="52">
        <v>742</v>
      </c>
      <c r="H44" s="52">
        <v>742</v>
      </c>
      <c r="I44" s="55">
        <v>95</v>
      </c>
      <c r="J44" s="59">
        <v>46210</v>
      </c>
      <c r="K44" s="57">
        <v>35.5</v>
      </c>
      <c r="L44" s="57">
        <f t="shared" si="5"/>
        <v>26341</v>
      </c>
      <c r="M44" s="57">
        <v>26341</v>
      </c>
      <c r="N44" s="57">
        <f t="shared" si="7"/>
        <v>0</v>
      </c>
      <c r="O44" s="58" t="s">
        <v>25</v>
      </c>
    </row>
    <row r="45" spans="1:15" s="12" customFormat="1" ht="28.5" customHeight="1" x14ac:dyDescent="0.35">
      <c r="A45" s="50">
        <v>12</v>
      </c>
      <c r="B45" s="51">
        <v>46197</v>
      </c>
      <c r="C45" s="52">
        <v>27872</v>
      </c>
      <c r="D45" s="53" t="s">
        <v>41</v>
      </c>
      <c r="E45" s="52">
        <v>120</v>
      </c>
      <c r="F45" s="54">
        <v>18</v>
      </c>
      <c r="G45" s="52">
        <v>736</v>
      </c>
      <c r="H45" s="52">
        <v>736</v>
      </c>
      <c r="I45" s="55">
        <v>130</v>
      </c>
      <c r="J45" s="59">
        <v>46199</v>
      </c>
      <c r="K45" s="57">
        <v>35.5</v>
      </c>
      <c r="L45" s="57">
        <f>+G45*K45</f>
        <v>26128</v>
      </c>
      <c r="M45" s="57">
        <v>26128</v>
      </c>
      <c r="N45" s="57">
        <f t="shared" si="7"/>
        <v>0</v>
      </c>
      <c r="O45" s="58" t="s">
        <v>25</v>
      </c>
    </row>
    <row r="46" spans="1:15" s="12" customFormat="1" ht="28.5" customHeight="1" x14ac:dyDescent="0.35">
      <c r="A46" s="13">
        <v>13</v>
      </c>
      <c r="B46" s="42"/>
      <c r="C46" s="15"/>
      <c r="D46" s="14"/>
      <c r="E46" s="15"/>
      <c r="F46" s="16"/>
      <c r="G46" s="15"/>
      <c r="H46" s="15"/>
      <c r="I46" s="20"/>
      <c r="J46" s="25"/>
      <c r="K46" s="31"/>
      <c r="L46" s="31">
        <f t="shared" si="5"/>
        <v>0</v>
      </c>
      <c r="M46" s="31"/>
      <c r="N46" s="31"/>
      <c r="O46" s="2"/>
    </row>
    <row r="47" spans="1:15" s="12" customFormat="1" ht="28.5" customHeight="1" x14ac:dyDescent="0.35">
      <c r="A47" s="13">
        <v>14</v>
      </c>
      <c r="B47" s="42"/>
      <c r="C47" s="15"/>
      <c r="D47" s="14"/>
      <c r="E47" s="15"/>
      <c r="F47" s="16"/>
      <c r="G47" s="15"/>
      <c r="H47" s="15"/>
      <c r="I47" s="20"/>
      <c r="J47" s="25"/>
      <c r="K47" s="31"/>
      <c r="L47" s="31">
        <f t="shared" si="5"/>
        <v>0</v>
      </c>
      <c r="M47" s="31"/>
      <c r="N47" s="31"/>
      <c r="O47" s="2"/>
    </row>
    <row r="48" spans="1:15" s="12" customFormat="1" ht="28.5" customHeight="1" x14ac:dyDescent="0.35">
      <c r="A48" s="13">
        <v>15</v>
      </c>
      <c r="B48" s="42"/>
      <c r="C48" s="15"/>
      <c r="D48" s="14"/>
      <c r="E48" s="15"/>
      <c r="F48" s="16"/>
      <c r="G48" s="15"/>
      <c r="H48" s="15"/>
      <c r="I48" s="20"/>
      <c r="J48" s="25"/>
      <c r="K48" s="31"/>
      <c r="L48" s="31">
        <f t="shared" si="5"/>
        <v>0</v>
      </c>
      <c r="M48" s="31"/>
      <c r="N48" s="31"/>
      <c r="O48" s="2"/>
    </row>
    <row r="49" spans="1:15" s="12" customFormat="1" ht="28.5" customHeight="1" x14ac:dyDescent="0.35">
      <c r="A49" s="13"/>
      <c r="B49" s="42"/>
      <c r="C49" s="15"/>
      <c r="D49" s="14"/>
      <c r="E49" s="15"/>
      <c r="F49" s="16"/>
      <c r="G49" s="15"/>
      <c r="H49" s="15"/>
      <c r="I49" s="20"/>
      <c r="J49" s="25"/>
      <c r="K49" s="31"/>
      <c r="L49" s="31">
        <f t="shared" si="5"/>
        <v>0</v>
      </c>
      <c r="M49" s="31"/>
      <c r="N49" s="31"/>
      <c r="O49" s="2"/>
    </row>
    <row r="50" spans="1:15" s="12" customFormat="1" ht="28.5" customHeight="1" thickBot="1" x14ac:dyDescent="0.4">
      <c r="A50" s="13"/>
      <c r="B50" s="42"/>
      <c r="C50" s="15"/>
      <c r="D50" s="14"/>
      <c r="E50" s="15"/>
      <c r="F50" s="16"/>
      <c r="G50" s="15"/>
      <c r="H50" s="15"/>
      <c r="I50" s="20"/>
      <c r="J50" s="25"/>
      <c r="K50" s="31"/>
      <c r="L50" s="31">
        <f t="shared" si="5"/>
        <v>0</v>
      </c>
      <c r="M50" s="31"/>
      <c r="N50" s="31"/>
      <c r="O50" s="2"/>
    </row>
    <row r="51" spans="1:15" ht="30" customHeight="1" thickBot="1" x14ac:dyDescent="0.4">
      <c r="A51" s="83" t="s">
        <v>12</v>
      </c>
      <c r="B51" s="84"/>
      <c r="C51" s="84"/>
      <c r="D51" s="84"/>
      <c r="E51" s="84"/>
      <c r="F51" s="85"/>
      <c r="G51" s="18">
        <f>+SUM(G34:G50)</f>
        <v>8233</v>
      </c>
      <c r="H51" s="18">
        <f>+SUM(H34:H50)</f>
        <v>8233</v>
      </c>
      <c r="I51" s="21">
        <f>+G51-H51</f>
        <v>0</v>
      </c>
      <c r="J51" s="36"/>
      <c r="K51" s="32"/>
      <c r="L51" s="65">
        <f>+SUM(L34:L50)</f>
        <v>290406</v>
      </c>
      <c r="M51" s="65">
        <f>+SUM(M34:M50)</f>
        <v>290406</v>
      </c>
      <c r="N51" s="69">
        <f>+SUM(N34:N50)</f>
        <v>0</v>
      </c>
      <c r="O51" s="66"/>
    </row>
    <row r="52" spans="1:15" ht="30" customHeight="1" x14ac:dyDescent="0.35">
      <c r="A52" s="118" t="s">
        <v>53</v>
      </c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4"/>
    </row>
    <row r="53" spans="1:15" ht="30" customHeight="1" thickBot="1" x14ac:dyDescent="0.4">
      <c r="A53" s="115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7"/>
    </row>
    <row r="54" spans="1:15" s="4" customFormat="1" ht="38.25" customHeight="1" x14ac:dyDescent="0.35">
      <c r="A54" s="10" t="s">
        <v>2</v>
      </c>
      <c r="B54" s="88" t="s">
        <v>20</v>
      </c>
      <c r="C54" s="45" t="s">
        <v>19</v>
      </c>
      <c r="D54" s="48" t="s">
        <v>6</v>
      </c>
      <c r="E54" s="79" t="s">
        <v>7</v>
      </c>
      <c r="F54" s="81" t="s">
        <v>5</v>
      </c>
      <c r="G54" s="75" t="s">
        <v>4</v>
      </c>
      <c r="H54" s="75" t="s">
        <v>10</v>
      </c>
      <c r="I54" s="75" t="s">
        <v>11</v>
      </c>
      <c r="J54" s="77" t="s">
        <v>8</v>
      </c>
      <c r="K54" s="75" t="s">
        <v>16</v>
      </c>
      <c r="L54" s="75" t="s">
        <v>21</v>
      </c>
      <c r="M54" s="75" t="s">
        <v>48</v>
      </c>
      <c r="N54" s="75" t="s">
        <v>49</v>
      </c>
      <c r="O54" s="86" t="s">
        <v>9</v>
      </c>
    </row>
    <row r="55" spans="1:15" ht="28.5" customHeight="1" thickBot="1" x14ac:dyDescent="0.4">
      <c r="A55" s="74">
        <v>1</v>
      </c>
      <c r="B55" s="89"/>
      <c r="C55" s="46"/>
      <c r="D55" s="49" t="s">
        <v>43</v>
      </c>
      <c r="E55" s="80"/>
      <c r="F55" s="82"/>
      <c r="G55" s="76"/>
      <c r="H55" s="76"/>
      <c r="I55" s="76"/>
      <c r="J55" s="78"/>
      <c r="K55" s="76"/>
      <c r="L55" s="76"/>
      <c r="M55" s="76"/>
      <c r="N55" s="76"/>
      <c r="O55" s="87"/>
    </row>
    <row r="56" spans="1:15" s="12" customFormat="1" ht="30" customHeight="1" x14ac:dyDescent="0.35">
      <c r="A56" s="54">
        <v>1</v>
      </c>
      <c r="B56" s="62">
        <v>46213</v>
      </c>
      <c r="C56" s="54">
        <v>70205</v>
      </c>
      <c r="D56" s="53" t="s">
        <v>44</v>
      </c>
      <c r="E56" s="54">
        <v>140</v>
      </c>
      <c r="F56" s="54">
        <v>16</v>
      </c>
      <c r="G56" s="54">
        <v>522</v>
      </c>
      <c r="H56" s="52">
        <v>522</v>
      </c>
      <c r="I56" s="54">
        <v>0</v>
      </c>
      <c r="J56" s="58">
        <v>46223</v>
      </c>
      <c r="K56" s="60">
        <v>35</v>
      </c>
      <c r="L56" s="60">
        <f t="shared" ref="L56:L63" si="8">+G56*K56</f>
        <v>18270</v>
      </c>
      <c r="M56" s="57">
        <f t="shared" ref="M56:M57" si="9">+K56*H56</f>
        <v>18270</v>
      </c>
      <c r="N56" s="60">
        <v>0</v>
      </c>
      <c r="O56" s="61" t="s">
        <v>24</v>
      </c>
    </row>
    <row r="57" spans="1:15" s="12" customFormat="1" ht="30" customHeight="1" x14ac:dyDescent="0.35">
      <c r="A57" s="54">
        <v>2</v>
      </c>
      <c r="B57" s="62">
        <v>46213</v>
      </c>
      <c r="C57" s="54">
        <v>70207</v>
      </c>
      <c r="D57" s="53" t="s">
        <v>44</v>
      </c>
      <c r="E57" s="54">
        <v>140</v>
      </c>
      <c r="F57" s="54">
        <v>16</v>
      </c>
      <c r="G57" s="54">
        <v>541</v>
      </c>
      <c r="H57" s="52">
        <v>541</v>
      </c>
      <c r="I57" s="54">
        <v>0</v>
      </c>
      <c r="J57" s="58">
        <v>46223</v>
      </c>
      <c r="K57" s="60">
        <v>35</v>
      </c>
      <c r="L57" s="60">
        <f t="shared" si="8"/>
        <v>18935</v>
      </c>
      <c r="M57" s="57">
        <f t="shared" si="9"/>
        <v>18935</v>
      </c>
      <c r="N57" s="60">
        <v>0</v>
      </c>
      <c r="O57" s="61" t="s">
        <v>24</v>
      </c>
    </row>
    <row r="58" spans="1:15" s="12" customFormat="1" ht="30" customHeight="1" x14ac:dyDescent="0.35">
      <c r="A58" s="23">
        <v>3</v>
      </c>
      <c r="B58" s="40"/>
      <c r="C58" s="23"/>
      <c r="D58" s="14"/>
      <c r="E58" s="23"/>
      <c r="F58" s="23"/>
      <c r="G58" s="23"/>
      <c r="H58" s="29"/>
      <c r="I58" s="23"/>
      <c r="J58" s="2"/>
      <c r="K58" s="33"/>
      <c r="L58" s="38">
        <f t="shared" si="8"/>
        <v>0</v>
      </c>
      <c r="M58" s="38"/>
      <c r="N58" s="38"/>
      <c r="O58" s="22"/>
    </row>
    <row r="59" spans="1:15" s="12" customFormat="1" ht="30" customHeight="1" x14ac:dyDescent="0.35">
      <c r="A59" s="23">
        <v>4</v>
      </c>
      <c r="B59" s="40"/>
      <c r="C59" s="23"/>
      <c r="D59" s="14"/>
      <c r="E59" s="23"/>
      <c r="F59" s="23"/>
      <c r="G59" s="23"/>
      <c r="H59" s="29"/>
      <c r="I59" s="23"/>
      <c r="J59" s="2"/>
      <c r="K59" s="33"/>
      <c r="L59" s="38">
        <f t="shared" si="8"/>
        <v>0</v>
      </c>
      <c r="M59" s="38"/>
      <c r="N59" s="38"/>
      <c r="O59" s="22"/>
    </row>
    <row r="60" spans="1:15" s="12" customFormat="1" ht="30" customHeight="1" x14ac:dyDescent="0.35">
      <c r="A60" s="23">
        <v>5</v>
      </c>
      <c r="B60" s="40"/>
      <c r="C60" s="23"/>
      <c r="D60" s="14"/>
      <c r="E60" s="23"/>
      <c r="F60" s="23"/>
      <c r="G60" s="23"/>
      <c r="H60" s="29"/>
      <c r="I60" s="23"/>
      <c r="J60" s="2"/>
      <c r="K60" s="33"/>
      <c r="L60" s="38">
        <f t="shared" si="8"/>
        <v>0</v>
      </c>
      <c r="M60" s="38"/>
      <c r="N60" s="38"/>
      <c r="O60" s="22"/>
    </row>
    <row r="61" spans="1:15" s="12" customFormat="1" ht="30" customHeight="1" x14ac:dyDescent="0.35">
      <c r="A61" s="23"/>
      <c r="B61" s="40"/>
      <c r="C61" s="23"/>
      <c r="D61" s="14"/>
      <c r="E61" s="23"/>
      <c r="F61" s="23"/>
      <c r="G61" s="23"/>
      <c r="H61" s="29"/>
      <c r="I61" s="23"/>
      <c r="J61" s="2"/>
      <c r="K61" s="33"/>
      <c r="L61" s="38">
        <f t="shared" si="8"/>
        <v>0</v>
      </c>
      <c r="M61" s="38"/>
      <c r="N61" s="38"/>
      <c r="O61" s="22"/>
    </row>
    <row r="62" spans="1:15" s="12" customFormat="1" ht="30" customHeight="1" x14ac:dyDescent="0.35">
      <c r="A62" s="23"/>
      <c r="B62" s="40"/>
      <c r="C62" s="23"/>
      <c r="D62" s="14"/>
      <c r="E62" s="23"/>
      <c r="F62" s="23"/>
      <c r="G62" s="23"/>
      <c r="H62" s="29"/>
      <c r="I62" s="23"/>
      <c r="J62" s="2"/>
      <c r="K62" s="33"/>
      <c r="L62" s="38">
        <f t="shared" si="8"/>
        <v>0</v>
      </c>
      <c r="M62" s="38"/>
      <c r="N62" s="38"/>
      <c r="O62" s="22"/>
    </row>
    <row r="63" spans="1:15" s="12" customFormat="1" ht="30" customHeight="1" thickBot="1" x14ac:dyDescent="0.4">
      <c r="A63" s="23"/>
      <c r="B63" s="40"/>
      <c r="C63" s="23"/>
      <c r="D63" s="14"/>
      <c r="E63" s="23"/>
      <c r="F63" s="23"/>
      <c r="G63" s="23"/>
      <c r="H63" s="29"/>
      <c r="I63" s="23"/>
      <c r="J63" s="2"/>
      <c r="K63" s="33"/>
      <c r="L63" s="38">
        <f t="shared" si="8"/>
        <v>0</v>
      </c>
      <c r="M63" s="38"/>
      <c r="N63" s="38"/>
      <c r="O63" s="22"/>
    </row>
    <row r="64" spans="1:15" ht="30" customHeight="1" thickBot="1" x14ac:dyDescent="0.4">
      <c r="A64" s="83" t="s">
        <v>12</v>
      </c>
      <c r="B64" s="84"/>
      <c r="C64" s="84"/>
      <c r="D64" s="84"/>
      <c r="E64" s="84"/>
      <c r="F64" s="85"/>
      <c r="G64" s="18">
        <f>+SUM(G56:G63)</f>
        <v>1063</v>
      </c>
      <c r="H64" s="18">
        <f>+SUM(H56:H63)</f>
        <v>1063</v>
      </c>
      <c r="I64" s="21">
        <f>+G64-H64</f>
        <v>0</v>
      </c>
      <c r="J64" s="36"/>
      <c r="K64" s="35"/>
      <c r="L64" s="34">
        <f>+SUM(L56:L63)</f>
        <v>37205</v>
      </c>
      <c r="M64" s="34"/>
      <c r="N64" s="67">
        <f>SUM(N56:N63)</f>
        <v>0</v>
      </c>
      <c r="O64" s="3"/>
    </row>
    <row r="65" spans="1:15" ht="30" customHeight="1" x14ac:dyDescent="0.35">
      <c r="A65" s="131" t="s">
        <v>13</v>
      </c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32"/>
    </row>
    <row r="66" spans="1:15" ht="30" customHeight="1" thickBot="1" x14ac:dyDescent="0.4">
      <c r="A66" s="104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6"/>
    </row>
    <row r="67" spans="1:15" s="4" customFormat="1" ht="38.25" customHeight="1" x14ac:dyDescent="0.35">
      <c r="A67" s="10" t="s">
        <v>2</v>
      </c>
      <c r="B67" s="88" t="s">
        <v>20</v>
      </c>
      <c r="C67" s="79" t="s">
        <v>19</v>
      </c>
      <c r="D67" s="48" t="s">
        <v>6</v>
      </c>
      <c r="E67" s="79" t="s">
        <v>7</v>
      </c>
      <c r="F67" s="81" t="s">
        <v>5</v>
      </c>
      <c r="G67" s="75" t="s">
        <v>4</v>
      </c>
      <c r="H67" s="75" t="s">
        <v>10</v>
      </c>
      <c r="I67" s="75" t="s">
        <v>11</v>
      </c>
      <c r="J67" s="77" t="s">
        <v>8</v>
      </c>
      <c r="K67" s="75" t="s">
        <v>16</v>
      </c>
      <c r="L67" s="75" t="s">
        <v>21</v>
      </c>
      <c r="M67" s="75" t="s">
        <v>48</v>
      </c>
      <c r="N67" s="75" t="s">
        <v>49</v>
      </c>
      <c r="O67" s="86" t="s">
        <v>9</v>
      </c>
    </row>
    <row r="68" spans="1:15" ht="28.5" customHeight="1" thickBot="1" x14ac:dyDescent="0.4">
      <c r="A68" s="68">
        <v>1</v>
      </c>
      <c r="B68" s="89"/>
      <c r="C68" s="80"/>
      <c r="D68" s="49" t="s">
        <v>55</v>
      </c>
      <c r="E68" s="80"/>
      <c r="F68" s="82"/>
      <c r="G68" s="76"/>
      <c r="H68" s="76"/>
      <c r="I68" s="76"/>
      <c r="J68" s="78"/>
      <c r="K68" s="76"/>
      <c r="L68" s="76"/>
      <c r="M68" s="76"/>
      <c r="N68" s="76"/>
      <c r="O68" s="87"/>
    </row>
    <row r="69" spans="1:15" s="12" customFormat="1" ht="28.2" customHeight="1" x14ac:dyDescent="0.35">
      <c r="A69" s="13">
        <v>1</v>
      </c>
      <c r="B69" s="42">
        <v>46266</v>
      </c>
      <c r="C69" s="15">
        <v>49155</v>
      </c>
      <c r="D69" s="14" t="s">
        <v>42</v>
      </c>
      <c r="E69" s="15">
        <v>150</v>
      </c>
      <c r="F69" s="16">
        <v>18</v>
      </c>
      <c r="G69" s="15">
        <v>666</v>
      </c>
      <c r="H69" s="20"/>
      <c r="I69" s="15"/>
      <c r="J69" s="26"/>
      <c r="K69" s="31">
        <v>37.5</v>
      </c>
      <c r="L69" s="31">
        <f t="shared" ref="L69:L77" si="10">+G69*K69</f>
        <v>24975</v>
      </c>
      <c r="M69" s="31">
        <f>+K69*H69</f>
        <v>0</v>
      </c>
      <c r="N69" s="31">
        <f>+K69*G69</f>
        <v>24975</v>
      </c>
      <c r="O69" s="2" t="s">
        <v>25</v>
      </c>
    </row>
    <row r="70" spans="1:15" s="12" customFormat="1" ht="28.2" customHeight="1" x14ac:dyDescent="0.35">
      <c r="A70" s="13">
        <v>2</v>
      </c>
      <c r="B70" s="42">
        <v>46266</v>
      </c>
      <c r="C70" s="15">
        <v>49159</v>
      </c>
      <c r="D70" s="14" t="s">
        <v>42</v>
      </c>
      <c r="E70" s="15">
        <v>150</v>
      </c>
      <c r="F70" s="16">
        <v>18</v>
      </c>
      <c r="G70" s="15">
        <v>716</v>
      </c>
      <c r="H70" s="20"/>
      <c r="I70" s="15"/>
      <c r="J70" s="26"/>
      <c r="K70" s="31">
        <v>37.5</v>
      </c>
      <c r="L70" s="31">
        <f t="shared" si="10"/>
        <v>26850</v>
      </c>
      <c r="M70" s="31">
        <f t="shared" ref="M70:M72" si="11">+K70*H70</f>
        <v>0</v>
      </c>
      <c r="N70" s="31">
        <f t="shared" ref="N70:N72" si="12">+K70*G70</f>
        <v>26850</v>
      </c>
      <c r="O70" s="2" t="s">
        <v>25</v>
      </c>
    </row>
    <row r="71" spans="1:15" s="12" customFormat="1" ht="28.2" customHeight="1" x14ac:dyDescent="0.35">
      <c r="A71" s="13">
        <v>3</v>
      </c>
      <c r="B71" s="42">
        <v>46266</v>
      </c>
      <c r="C71" s="15">
        <v>49163</v>
      </c>
      <c r="D71" s="14" t="s">
        <v>42</v>
      </c>
      <c r="E71" s="15">
        <v>150</v>
      </c>
      <c r="F71" s="16">
        <v>18</v>
      </c>
      <c r="G71" s="15">
        <v>717</v>
      </c>
      <c r="H71" s="20"/>
      <c r="I71" s="15"/>
      <c r="J71" s="26"/>
      <c r="K71" s="31">
        <v>37.5</v>
      </c>
      <c r="L71" s="31">
        <f t="shared" si="10"/>
        <v>26887.5</v>
      </c>
      <c r="M71" s="31">
        <f t="shared" si="11"/>
        <v>0</v>
      </c>
      <c r="N71" s="31">
        <f t="shared" si="12"/>
        <v>26887.5</v>
      </c>
      <c r="O71" s="2" t="s">
        <v>25</v>
      </c>
    </row>
    <row r="72" spans="1:15" s="12" customFormat="1" ht="28.2" customHeight="1" x14ac:dyDescent="0.35">
      <c r="A72" s="13">
        <v>4</v>
      </c>
      <c r="B72" s="42">
        <v>46266</v>
      </c>
      <c r="C72" s="15">
        <v>49167</v>
      </c>
      <c r="D72" s="14" t="s">
        <v>42</v>
      </c>
      <c r="E72" s="15">
        <v>150</v>
      </c>
      <c r="F72" s="16">
        <v>18</v>
      </c>
      <c r="G72" s="15">
        <v>708</v>
      </c>
      <c r="H72" s="20"/>
      <c r="I72" s="15"/>
      <c r="J72" s="26"/>
      <c r="K72" s="31">
        <v>37.5</v>
      </c>
      <c r="L72" s="31">
        <f t="shared" si="10"/>
        <v>26550</v>
      </c>
      <c r="M72" s="31">
        <f t="shared" si="11"/>
        <v>0</v>
      </c>
      <c r="N72" s="31">
        <f t="shared" si="12"/>
        <v>26550</v>
      </c>
      <c r="O72" s="2" t="s">
        <v>25</v>
      </c>
    </row>
    <row r="73" spans="1:15" s="12" customFormat="1" ht="28.2" customHeight="1" x14ac:dyDescent="0.35">
      <c r="A73" s="13">
        <v>5</v>
      </c>
      <c r="B73" s="42"/>
      <c r="C73" s="15"/>
      <c r="D73" s="14"/>
      <c r="E73" s="15"/>
      <c r="F73" s="16"/>
      <c r="G73" s="15"/>
      <c r="H73" s="20"/>
      <c r="I73" s="15"/>
      <c r="J73" s="26"/>
      <c r="K73" s="31"/>
      <c r="L73" s="31">
        <f t="shared" si="10"/>
        <v>0</v>
      </c>
      <c r="M73" s="31"/>
      <c r="N73" s="31"/>
      <c r="O73" s="2"/>
    </row>
    <row r="74" spans="1:15" s="12" customFormat="1" ht="28.2" customHeight="1" x14ac:dyDescent="0.35">
      <c r="A74" s="13">
        <v>6</v>
      </c>
      <c r="B74" s="42"/>
      <c r="C74" s="15"/>
      <c r="D74" s="14"/>
      <c r="E74" s="15"/>
      <c r="F74" s="16"/>
      <c r="G74" s="15"/>
      <c r="H74" s="20"/>
      <c r="I74" s="15"/>
      <c r="J74" s="26"/>
      <c r="K74" s="31"/>
      <c r="L74" s="31">
        <f t="shared" si="10"/>
        <v>0</v>
      </c>
      <c r="M74" s="31"/>
      <c r="N74" s="31"/>
      <c r="O74" s="2"/>
    </row>
    <row r="75" spans="1:15" s="12" customFormat="1" ht="28.2" customHeight="1" x14ac:dyDescent="0.35">
      <c r="A75" s="13"/>
      <c r="B75" s="42"/>
      <c r="C75" s="15"/>
      <c r="D75" s="14"/>
      <c r="E75" s="15"/>
      <c r="F75" s="16"/>
      <c r="G75" s="15"/>
      <c r="H75" s="20"/>
      <c r="I75" s="15"/>
      <c r="J75" s="26"/>
      <c r="K75" s="31"/>
      <c r="L75" s="31">
        <f t="shared" si="10"/>
        <v>0</v>
      </c>
      <c r="M75" s="31"/>
      <c r="N75" s="31"/>
      <c r="O75" s="2"/>
    </row>
    <row r="76" spans="1:15" s="12" customFormat="1" ht="28.2" customHeight="1" x14ac:dyDescent="0.35">
      <c r="A76" s="13"/>
      <c r="B76" s="42"/>
      <c r="C76" s="15"/>
      <c r="D76" s="14"/>
      <c r="E76" s="15"/>
      <c r="F76" s="16"/>
      <c r="G76" s="15"/>
      <c r="H76" s="20"/>
      <c r="I76" s="15"/>
      <c r="J76" s="26"/>
      <c r="K76" s="31"/>
      <c r="L76" s="31">
        <f t="shared" si="10"/>
        <v>0</v>
      </c>
      <c r="M76" s="31"/>
      <c r="N76" s="31"/>
      <c r="O76" s="2"/>
    </row>
    <row r="77" spans="1:15" s="12" customFormat="1" ht="28.5" customHeight="1" thickBot="1" x14ac:dyDescent="0.4">
      <c r="A77" s="13"/>
      <c r="B77" s="42"/>
      <c r="C77" s="15"/>
      <c r="D77" s="14"/>
      <c r="E77" s="15"/>
      <c r="F77" s="16"/>
      <c r="G77" s="15"/>
      <c r="H77" s="20"/>
      <c r="I77" s="15"/>
      <c r="J77" s="26"/>
      <c r="K77" s="31"/>
      <c r="L77" s="31">
        <f t="shared" si="10"/>
        <v>0</v>
      </c>
      <c r="M77" s="31"/>
      <c r="N77" s="31"/>
      <c r="O77" s="2"/>
    </row>
    <row r="78" spans="1:15" ht="30" customHeight="1" thickBot="1" x14ac:dyDescent="0.4">
      <c r="A78" s="83" t="s">
        <v>12</v>
      </c>
      <c r="B78" s="84"/>
      <c r="C78" s="84"/>
      <c r="D78" s="84"/>
      <c r="E78" s="84"/>
      <c r="F78" s="85"/>
      <c r="G78" s="18">
        <f>+SUM(G69:G77)</f>
        <v>2807</v>
      </c>
      <c r="H78" s="18">
        <f>+SUM(H69:H77)</f>
        <v>0</v>
      </c>
      <c r="I78" s="21">
        <f>+G78-H78</f>
        <v>2807</v>
      </c>
      <c r="J78" s="36"/>
      <c r="K78" s="18"/>
      <c r="L78" s="18">
        <f>+SUM(L69:L77)</f>
        <v>105262.5</v>
      </c>
      <c r="M78" s="18">
        <f>+SUM(M69:M77)</f>
        <v>0</v>
      </c>
      <c r="N78" s="67">
        <f>SUM(N69:N77)</f>
        <v>105262.5</v>
      </c>
      <c r="O78" s="3"/>
    </row>
    <row r="79" spans="1:15" ht="30" customHeight="1" x14ac:dyDescent="0.35">
      <c r="A79" s="102" t="s">
        <v>14</v>
      </c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8"/>
    </row>
    <row r="80" spans="1:15" ht="30" customHeight="1" thickBot="1" x14ac:dyDescent="0.4">
      <c r="A80" s="109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1"/>
    </row>
    <row r="81" spans="1:15" s="4" customFormat="1" ht="38.25" customHeight="1" x14ac:dyDescent="0.35">
      <c r="A81" s="10" t="s">
        <v>2</v>
      </c>
      <c r="B81" s="88" t="s">
        <v>20</v>
      </c>
      <c r="C81" s="79" t="s">
        <v>19</v>
      </c>
      <c r="D81" s="48" t="s">
        <v>6</v>
      </c>
      <c r="E81" s="79" t="s">
        <v>7</v>
      </c>
      <c r="F81" s="81" t="s">
        <v>5</v>
      </c>
      <c r="G81" s="75" t="s">
        <v>4</v>
      </c>
      <c r="H81" s="75" t="s">
        <v>10</v>
      </c>
      <c r="I81" s="75" t="s">
        <v>11</v>
      </c>
      <c r="J81" s="77" t="s">
        <v>8</v>
      </c>
      <c r="K81" s="75" t="s">
        <v>16</v>
      </c>
      <c r="L81" s="75" t="s">
        <v>21</v>
      </c>
      <c r="M81" s="75" t="s">
        <v>48</v>
      </c>
      <c r="N81" s="75" t="s">
        <v>49</v>
      </c>
      <c r="O81" s="86" t="s">
        <v>9</v>
      </c>
    </row>
    <row r="82" spans="1:15" ht="28.5" customHeight="1" thickBot="1" x14ac:dyDescent="0.4">
      <c r="A82" s="68">
        <v>1</v>
      </c>
      <c r="B82" s="89"/>
      <c r="C82" s="80"/>
      <c r="D82" s="64" t="s">
        <v>15</v>
      </c>
      <c r="E82" s="80"/>
      <c r="F82" s="82"/>
      <c r="G82" s="76"/>
      <c r="H82" s="76"/>
      <c r="I82" s="76"/>
      <c r="J82" s="78"/>
      <c r="K82" s="76"/>
      <c r="L82" s="76"/>
      <c r="M82" s="76"/>
      <c r="N82" s="76"/>
      <c r="O82" s="87"/>
    </row>
    <row r="83" spans="1:15" s="12" customFormat="1" ht="28.5" customHeight="1" x14ac:dyDescent="0.35">
      <c r="A83" s="50">
        <v>1</v>
      </c>
      <c r="B83" s="51">
        <v>45955</v>
      </c>
      <c r="C83" s="52">
        <v>62961</v>
      </c>
      <c r="D83" s="53" t="s">
        <v>26</v>
      </c>
      <c r="E83" s="52">
        <v>180</v>
      </c>
      <c r="F83" s="54">
        <v>18</v>
      </c>
      <c r="G83" s="52">
        <v>616</v>
      </c>
      <c r="H83" s="55">
        <v>616</v>
      </c>
      <c r="I83" s="52"/>
      <c r="J83" s="56">
        <v>46123</v>
      </c>
      <c r="K83" s="57">
        <v>30.25</v>
      </c>
      <c r="L83" s="57">
        <f t="shared" ref="L83:L97" si="13">+G83*K83</f>
        <v>18634</v>
      </c>
      <c r="M83" s="57">
        <f>+K83*H83</f>
        <v>18634</v>
      </c>
      <c r="N83" s="57">
        <v>0</v>
      </c>
      <c r="O83" s="58" t="s">
        <v>25</v>
      </c>
    </row>
    <row r="84" spans="1:15" s="12" customFormat="1" ht="28.5" customHeight="1" x14ac:dyDescent="0.35">
      <c r="A84" s="13">
        <v>2</v>
      </c>
      <c r="B84" s="42">
        <v>45955</v>
      </c>
      <c r="C84" s="15">
        <v>62964</v>
      </c>
      <c r="D84" s="14" t="s">
        <v>26</v>
      </c>
      <c r="E84" s="15">
        <v>180</v>
      </c>
      <c r="F84" s="16">
        <v>18</v>
      </c>
      <c r="G84" s="15">
        <v>585</v>
      </c>
      <c r="H84" s="20"/>
      <c r="I84" s="15"/>
      <c r="J84" s="26"/>
      <c r="K84" s="31">
        <v>30.25</v>
      </c>
      <c r="L84" s="31">
        <f t="shared" si="13"/>
        <v>17696.25</v>
      </c>
      <c r="M84" s="31">
        <f>+K84*H84</f>
        <v>0</v>
      </c>
      <c r="N84" s="31">
        <v>17696.25</v>
      </c>
      <c r="O84" s="2" t="s">
        <v>25</v>
      </c>
    </row>
    <row r="85" spans="1:15" s="12" customFormat="1" ht="28.5" customHeight="1" x14ac:dyDescent="0.35">
      <c r="A85" s="50">
        <v>3</v>
      </c>
      <c r="B85" s="51">
        <v>46148</v>
      </c>
      <c r="C85" s="52">
        <v>5745</v>
      </c>
      <c r="D85" s="53" t="s">
        <v>26</v>
      </c>
      <c r="E85" s="52">
        <v>180</v>
      </c>
      <c r="F85" s="54">
        <v>18</v>
      </c>
      <c r="G85" s="52">
        <v>556</v>
      </c>
      <c r="H85" s="55">
        <v>556</v>
      </c>
      <c r="I85" s="52"/>
      <c r="J85" s="56">
        <v>46202</v>
      </c>
      <c r="K85" s="57">
        <v>33.5</v>
      </c>
      <c r="L85" s="57">
        <f t="shared" si="13"/>
        <v>18626</v>
      </c>
      <c r="M85" s="57">
        <f t="shared" ref="M85:M88" si="14">+K85*H85</f>
        <v>18626</v>
      </c>
      <c r="N85" s="57">
        <v>0</v>
      </c>
      <c r="O85" s="58" t="s">
        <v>36</v>
      </c>
    </row>
    <row r="86" spans="1:15" s="12" customFormat="1" ht="28.5" customHeight="1" x14ac:dyDescent="0.35">
      <c r="A86" s="50">
        <v>4</v>
      </c>
      <c r="B86" s="51">
        <v>46148</v>
      </c>
      <c r="C86" s="52">
        <v>5743</v>
      </c>
      <c r="D86" s="53" t="s">
        <v>26</v>
      </c>
      <c r="E86" s="52">
        <v>180</v>
      </c>
      <c r="F86" s="54">
        <v>18</v>
      </c>
      <c r="G86" s="52">
        <v>560</v>
      </c>
      <c r="H86" s="55">
        <v>560</v>
      </c>
      <c r="I86" s="52"/>
      <c r="J86" s="56">
        <v>46202</v>
      </c>
      <c r="K86" s="57">
        <v>33.5</v>
      </c>
      <c r="L86" s="57">
        <f t="shared" si="13"/>
        <v>18760</v>
      </c>
      <c r="M86" s="57">
        <f t="shared" si="14"/>
        <v>18760</v>
      </c>
      <c r="N86" s="57">
        <v>0</v>
      </c>
      <c r="O86" s="58" t="s">
        <v>36</v>
      </c>
    </row>
    <row r="87" spans="1:15" s="12" customFormat="1" ht="28.5" customHeight="1" x14ac:dyDescent="0.35">
      <c r="A87" s="13">
        <v>5</v>
      </c>
      <c r="B87" s="42">
        <v>46218</v>
      </c>
      <c r="C87" s="15">
        <v>19645</v>
      </c>
      <c r="D87" s="14" t="s">
        <v>26</v>
      </c>
      <c r="E87" s="15">
        <v>180</v>
      </c>
      <c r="F87" s="16">
        <v>18</v>
      </c>
      <c r="G87" s="15">
        <v>612</v>
      </c>
      <c r="H87" s="20"/>
      <c r="I87" s="15"/>
      <c r="J87" s="26"/>
      <c r="K87" s="31">
        <v>35.5</v>
      </c>
      <c r="L87" s="31">
        <f t="shared" si="13"/>
        <v>21726</v>
      </c>
      <c r="M87" s="31">
        <f t="shared" si="14"/>
        <v>0</v>
      </c>
      <c r="N87" s="31">
        <v>21726</v>
      </c>
      <c r="O87" s="2" t="s">
        <v>36</v>
      </c>
    </row>
    <row r="88" spans="1:15" s="12" customFormat="1" ht="28.5" customHeight="1" x14ac:dyDescent="0.35">
      <c r="A88" s="50">
        <v>6</v>
      </c>
      <c r="B88" s="51">
        <v>46218</v>
      </c>
      <c r="C88" s="52">
        <v>19646</v>
      </c>
      <c r="D88" s="53" t="s">
        <v>26</v>
      </c>
      <c r="E88" s="52">
        <v>180</v>
      </c>
      <c r="F88" s="54">
        <v>18</v>
      </c>
      <c r="G88" s="52">
        <v>616</v>
      </c>
      <c r="H88" s="55">
        <v>616</v>
      </c>
      <c r="I88" s="52"/>
      <c r="J88" s="56">
        <v>46283</v>
      </c>
      <c r="K88" s="57">
        <v>35.5</v>
      </c>
      <c r="L88" s="57">
        <f t="shared" si="13"/>
        <v>21868</v>
      </c>
      <c r="M88" s="57">
        <f t="shared" si="14"/>
        <v>21868</v>
      </c>
      <c r="N88" s="57">
        <v>0</v>
      </c>
      <c r="O88" s="58" t="s">
        <v>36</v>
      </c>
    </row>
    <row r="89" spans="1:15" s="12" customFormat="1" ht="28.5" customHeight="1" x14ac:dyDescent="0.35">
      <c r="A89" s="13">
        <v>7</v>
      </c>
      <c r="B89" s="42"/>
      <c r="C89" s="15"/>
      <c r="D89" s="14"/>
      <c r="E89" s="15"/>
      <c r="F89" s="16"/>
      <c r="G89" s="15"/>
      <c r="H89" s="20"/>
      <c r="I89" s="15"/>
      <c r="J89" s="26"/>
      <c r="K89" s="31"/>
      <c r="L89" s="31">
        <f t="shared" si="13"/>
        <v>0</v>
      </c>
      <c r="M89" s="31"/>
      <c r="N89" s="31"/>
      <c r="O89" s="2"/>
    </row>
    <row r="90" spans="1:15" s="12" customFormat="1" ht="28.5" customHeight="1" x14ac:dyDescent="0.35">
      <c r="A90" s="13">
        <v>8</v>
      </c>
      <c r="B90" s="42"/>
      <c r="C90" s="15"/>
      <c r="D90" s="14"/>
      <c r="E90" s="15"/>
      <c r="F90" s="16"/>
      <c r="G90" s="15"/>
      <c r="H90" s="20"/>
      <c r="I90" s="15"/>
      <c r="J90" s="26"/>
      <c r="K90" s="31"/>
      <c r="L90" s="31">
        <f t="shared" si="13"/>
        <v>0</v>
      </c>
      <c r="M90" s="31"/>
      <c r="N90" s="31"/>
      <c r="O90" s="2"/>
    </row>
    <row r="91" spans="1:15" s="12" customFormat="1" ht="28.5" customHeight="1" x14ac:dyDescent="0.35">
      <c r="A91" s="13">
        <v>9</v>
      </c>
      <c r="B91" s="42"/>
      <c r="C91" s="15"/>
      <c r="D91" s="14"/>
      <c r="E91" s="15"/>
      <c r="F91" s="16"/>
      <c r="G91" s="15"/>
      <c r="H91" s="20"/>
      <c r="I91" s="15"/>
      <c r="J91" s="26"/>
      <c r="K91" s="31"/>
      <c r="L91" s="31">
        <f t="shared" si="13"/>
        <v>0</v>
      </c>
      <c r="M91" s="31"/>
      <c r="N91" s="31"/>
      <c r="O91" s="2"/>
    </row>
    <row r="92" spans="1:15" s="12" customFormat="1" ht="28.5" customHeight="1" x14ac:dyDescent="0.35">
      <c r="A92" s="13">
        <v>10</v>
      </c>
      <c r="B92" s="42"/>
      <c r="C92" s="15"/>
      <c r="D92" s="14"/>
      <c r="E92" s="15"/>
      <c r="F92" s="16"/>
      <c r="G92" s="15"/>
      <c r="H92" s="20"/>
      <c r="I92" s="15"/>
      <c r="J92" s="26"/>
      <c r="K92" s="31"/>
      <c r="L92" s="31">
        <f t="shared" si="13"/>
        <v>0</v>
      </c>
      <c r="M92" s="31"/>
      <c r="N92" s="31"/>
      <c r="O92" s="2"/>
    </row>
    <row r="93" spans="1:15" s="12" customFormat="1" ht="28.5" customHeight="1" x14ac:dyDescent="0.35">
      <c r="A93" s="13"/>
      <c r="B93" s="42"/>
      <c r="C93" s="15"/>
      <c r="D93" s="14"/>
      <c r="E93" s="15"/>
      <c r="F93" s="16"/>
      <c r="G93" s="15"/>
      <c r="H93" s="20"/>
      <c r="I93" s="15"/>
      <c r="J93" s="26"/>
      <c r="K93" s="31"/>
      <c r="L93" s="31">
        <f t="shared" si="13"/>
        <v>0</v>
      </c>
      <c r="M93" s="31"/>
      <c r="N93" s="31"/>
      <c r="O93" s="2"/>
    </row>
    <row r="94" spans="1:15" s="12" customFormat="1" ht="28.5" customHeight="1" x14ac:dyDescent="0.35">
      <c r="A94" s="13"/>
      <c r="B94" s="42"/>
      <c r="C94" s="15"/>
      <c r="D94" s="14"/>
      <c r="E94" s="15"/>
      <c r="F94" s="16"/>
      <c r="G94" s="15"/>
      <c r="H94" s="20"/>
      <c r="I94" s="15"/>
      <c r="J94" s="26"/>
      <c r="K94" s="31"/>
      <c r="L94" s="31">
        <f t="shared" si="13"/>
        <v>0</v>
      </c>
      <c r="M94" s="31"/>
      <c r="N94" s="31"/>
      <c r="O94" s="2"/>
    </row>
    <row r="95" spans="1:15" s="12" customFormat="1" ht="28.5" customHeight="1" x14ac:dyDescent="0.35">
      <c r="A95" s="13"/>
      <c r="B95" s="42"/>
      <c r="C95" s="15"/>
      <c r="D95" s="14"/>
      <c r="E95" s="15"/>
      <c r="F95" s="16"/>
      <c r="G95" s="15"/>
      <c r="H95" s="20"/>
      <c r="I95" s="15"/>
      <c r="J95" s="26"/>
      <c r="K95" s="31"/>
      <c r="L95" s="31">
        <f t="shared" si="13"/>
        <v>0</v>
      </c>
      <c r="M95" s="31"/>
      <c r="N95" s="31"/>
      <c r="O95" s="2"/>
    </row>
    <row r="96" spans="1:15" s="12" customFormat="1" ht="28.5" customHeight="1" x14ac:dyDescent="0.35">
      <c r="A96" s="13"/>
      <c r="B96" s="42"/>
      <c r="C96" s="15"/>
      <c r="D96" s="14"/>
      <c r="E96" s="15"/>
      <c r="F96" s="16"/>
      <c r="G96" s="15"/>
      <c r="H96" s="20"/>
      <c r="I96" s="15"/>
      <c r="J96" s="26"/>
      <c r="K96" s="31"/>
      <c r="L96" s="31">
        <f t="shared" si="13"/>
        <v>0</v>
      </c>
      <c r="M96" s="31"/>
      <c r="N96" s="31"/>
      <c r="O96" s="2"/>
    </row>
    <row r="97" spans="1:15" s="12" customFormat="1" ht="28.5" customHeight="1" thickBot="1" x14ac:dyDescent="0.4">
      <c r="A97" s="13"/>
      <c r="B97" s="42"/>
      <c r="C97" s="15"/>
      <c r="D97" s="14"/>
      <c r="E97" s="15"/>
      <c r="F97" s="16"/>
      <c r="G97" s="15"/>
      <c r="H97" s="20"/>
      <c r="I97" s="15"/>
      <c r="J97" s="26"/>
      <c r="K97" s="31"/>
      <c r="L97" s="31">
        <f t="shared" si="13"/>
        <v>0</v>
      </c>
      <c r="M97" s="31"/>
      <c r="N97" s="31"/>
      <c r="O97" s="2"/>
    </row>
    <row r="98" spans="1:15" ht="30" customHeight="1" thickBot="1" x14ac:dyDescent="0.4">
      <c r="A98" s="83" t="s">
        <v>12</v>
      </c>
      <c r="B98" s="84"/>
      <c r="C98" s="84"/>
      <c r="D98" s="84"/>
      <c r="E98" s="84"/>
      <c r="F98" s="85"/>
      <c r="G98" s="18">
        <f>+SUM(G83:G97)</f>
        <v>3545</v>
      </c>
      <c r="H98" s="18">
        <f>+SUM(H83:H97)</f>
        <v>2348</v>
      </c>
      <c r="I98" s="21">
        <f>+G98-H98</f>
        <v>1197</v>
      </c>
      <c r="J98" s="36"/>
      <c r="K98" s="32"/>
      <c r="L98" s="47">
        <f>+SUM(L83:L97)</f>
        <v>117310.25</v>
      </c>
      <c r="M98" s="32"/>
      <c r="N98" s="67">
        <f>SUM(N83:N97)</f>
        <v>39422.25</v>
      </c>
      <c r="O98" s="3"/>
    </row>
    <row r="99" spans="1:15" s="4" customFormat="1" ht="38.25" customHeight="1" x14ac:dyDescent="0.35">
      <c r="A99" s="10" t="s">
        <v>2</v>
      </c>
      <c r="B99" s="88" t="s">
        <v>20</v>
      </c>
      <c r="C99" s="79" t="s">
        <v>19</v>
      </c>
      <c r="D99" s="48" t="s">
        <v>6</v>
      </c>
      <c r="E99" s="79" t="s">
        <v>7</v>
      </c>
      <c r="F99" s="81" t="s">
        <v>5</v>
      </c>
      <c r="G99" s="75" t="s">
        <v>4</v>
      </c>
      <c r="H99" s="75" t="s">
        <v>10</v>
      </c>
      <c r="I99" s="75" t="s">
        <v>11</v>
      </c>
      <c r="J99" s="77" t="s">
        <v>8</v>
      </c>
      <c r="K99" s="75" t="s">
        <v>16</v>
      </c>
      <c r="L99" s="75" t="s">
        <v>21</v>
      </c>
      <c r="M99" s="75" t="s">
        <v>48</v>
      </c>
      <c r="N99" s="75" t="s">
        <v>49</v>
      </c>
      <c r="O99" s="86" t="s">
        <v>9</v>
      </c>
    </row>
    <row r="100" spans="1:15" ht="28.5" customHeight="1" thickBot="1" x14ac:dyDescent="0.4">
      <c r="A100" s="68">
        <v>1</v>
      </c>
      <c r="B100" s="89"/>
      <c r="C100" s="80"/>
      <c r="D100" s="64" t="s">
        <v>38</v>
      </c>
      <c r="E100" s="112"/>
      <c r="F100" s="82"/>
      <c r="G100" s="76"/>
      <c r="H100" s="76"/>
      <c r="I100" s="76"/>
      <c r="J100" s="78"/>
      <c r="K100" s="76"/>
      <c r="L100" s="76"/>
      <c r="M100" s="76"/>
      <c r="N100" s="76"/>
      <c r="O100" s="87"/>
    </row>
    <row r="101" spans="1:15" s="12" customFormat="1" ht="30" customHeight="1" x14ac:dyDescent="0.35">
      <c r="A101" s="23">
        <v>1</v>
      </c>
      <c r="B101" s="40">
        <v>46155</v>
      </c>
      <c r="C101" s="23">
        <v>51361</v>
      </c>
      <c r="D101" s="14" t="s">
        <v>37</v>
      </c>
      <c r="E101" s="23">
        <v>180</v>
      </c>
      <c r="F101" s="23">
        <v>18</v>
      </c>
      <c r="G101" s="23">
        <v>303</v>
      </c>
      <c r="H101" s="29"/>
      <c r="I101" s="23"/>
      <c r="J101" s="2"/>
      <c r="K101" s="33">
        <v>37.75</v>
      </c>
      <c r="L101" s="38">
        <f>+G101*K101</f>
        <v>11438.25</v>
      </c>
      <c r="M101" s="38">
        <f t="shared" ref="M101:M105" si="15">+K101*H101</f>
        <v>0</v>
      </c>
      <c r="N101" s="38">
        <v>11438.25</v>
      </c>
      <c r="O101" s="22" t="s">
        <v>24</v>
      </c>
    </row>
    <row r="102" spans="1:15" s="12" customFormat="1" ht="30" customHeight="1" x14ac:dyDescent="0.35">
      <c r="A102" s="23">
        <v>2</v>
      </c>
      <c r="B102" s="40">
        <v>46155</v>
      </c>
      <c r="C102" s="23">
        <v>51362</v>
      </c>
      <c r="D102" s="14" t="s">
        <v>37</v>
      </c>
      <c r="E102" s="23">
        <v>180</v>
      </c>
      <c r="F102" s="23">
        <v>18</v>
      </c>
      <c r="G102" s="23">
        <v>306</v>
      </c>
      <c r="H102" s="29"/>
      <c r="I102" s="23"/>
      <c r="J102" s="2"/>
      <c r="K102" s="33">
        <v>37.75</v>
      </c>
      <c r="L102" s="38">
        <f t="shared" ref="L102:L113" si="16">+G102*K102</f>
        <v>11551.5</v>
      </c>
      <c r="M102" s="38">
        <f t="shared" si="15"/>
        <v>0</v>
      </c>
      <c r="N102" s="38">
        <v>11551.5</v>
      </c>
      <c r="O102" s="22" t="s">
        <v>24</v>
      </c>
    </row>
    <row r="103" spans="1:15" s="12" customFormat="1" ht="30" customHeight="1" x14ac:dyDescent="0.35">
      <c r="A103" s="54">
        <v>3</v>
      </c>
      <c r="B103" s="62">
        <v>46155</v>
      </c>
      <c r="C103" s="54">
        <v>51364</v>
      </c>
      <c r="D103" s="53" t="s">
        <v>37</v>
      </c>
      <c r="E103" s="54">
        <v>180</v>
      </c>
      <c r="F103" s="54">
        <v>18</v>
      </c>
      <c r="G103" s="54">
        <v>298</v>
      </c>
      <c r="H103" s="52"/>
      <c r="I103" s="54"/>
      <c r="J103" s="58">
        <v>46284</v>
      </c>
      <c r="K103" s="60">
        <v>37.75</v>
      </c>
      <c r="L103" s="60">
        <f t="shared" si="16"/>
        <v>11249.5</v>
      </c>
      <c r="M103" s="60">
        <f t="shared" si="15"/>
        <v>0</v>
      </c>
      <c r="N103" s="60">
        <v>0</v>
      </c>
      <c r="O103" s="61" t="s">
        <v>24</v>
      </c>
    </row>
    <row r="104" spans="1:15" s="12" customFormat="1" ht="30" customHeight="1" x14ac:dyDescent="0.35">
      <c r="A104" s="23">
        <v>4</v>
      </c>
      <c r="B104" s="40">
        <v>46155</v>
      </c>
      <c r="C104" s="23">
        <v>51365</v>
      </c>
      <c r="D104" s="14" t="s">
        <v>37</v>
      </c>
      <c r="E104" s="23">
        <v>180</v>
      </c>
      <c r="F104" s="23">
        <v>18</v>
      </c>
      <c r="G104" s="23">
        <v>300</v>
      </c>
      <c r="H104" s="29"/>
      <c r="I104" s="23"/>
      <c r="J104" s="2"/>
      <c r="K104" s="33">
        <v>37.75</v>
      </c>
      <c r="L104" s="38">
        <f t="shared" si="16"/>
        <v>11325</v>
      </c>
      <c r="M104" s="38">
        <f t="shared" si="15"/>
        <v>0</v>
      </c>
      <c r="N104" s="38">
        <v>11325</v>
      </c>
      <c r="O104" s="22" t="s">
        <v>24</v>
      </c>
    </row>
    <row r="105" spans="1:15" s="12" customFormat="1" ht="30" customHeight="1" x14ac:dyDescent="0.35">
      <c r="A105" s="23">
        <v>5</v>
      </c>
      <c r="B105" s="40">
        <v>46155</v>
      </c>
      <c r="C105" s="23">
        <v>51367</v>
      </c>
      <c r="D105" s="14" t="s">
        <v>37</v>
      </c>
      <c r="E105" s="23">
        <v>180</v>
      </c>
      <c r="F105" s="23">
        <v>18</v>
      </c>
      <c r="G105" s="23">
        <v>294</v>
      </c>
      <c r="H105" s="29"/>
      <c r="I105" s="23"/>
      <c r="J105" s="2"/>
      <c r="K105" s="33">
        <v>37.75</v>
      </c>
      <c r="L105" s="38">
        <f t="shared" si="16"/>
        <v>11098.5</v>
      </c>
      <c r="M105" s="38">
        <f t="shared" si="15"/>
        <v>0</v>
      </c>
      <c r="N105" s="38">
        <v>11098.5</v>
      </c>
      <c r="O105" s="22" t="s">
        <v>24</v>
      </c>
    </row>
    <row r="106" spans="1:15" s="12" customFormat="1" ht="30" customHeight="1" x14ac:dyDescent="0.35">
      <c r="A106" s="23">
        <v>6</v>
      </c>
      <c r="B106" s="40">
        <v>46155</v>
      </c>
      <c r="C106" s="23">
        <v>51368</v>
      </c>
      <c r="D106" s="14" t="s">
        <v>37</v>
      </c>
      <c r="E106" s="23">
        <v>180</v>
      </c>
      <c r="F106" s="23">
        <v>18</v>
      </c>
      <c r="G106" s="23">
        <v>297</v>
      </c>
      <c r="H106" s="29"/>
      <c r="I106" s="23"/>
      <c r="J106" s="2"/>
      <c r="K106" s="33">
        <v>37.75</v>
      </c>
      <c r="L106" s="38">
        <f t="shared" si="16"/>
        <v>11211.75</v>
      </c>
      <c r="M106" s="38">
        <f>+K106*H106</f>
        <v>0</v>
      </c>
      <c r="N106" s="38">
        <v>11211.75</v>
      </c>
      <c r="O106" s="22" t="s">
        <v>24</v>
      </c>
    </row>
    <row r="107" spans="1:15" s="12" customFormat="1" ht="30" customHeight="1" x14ac:dyDescent="0.35">
      <c r="A107" s="54">
        <v>7</v>
      </c>
      <c r="B107" s="62">
        <v>46155</v>
      </c>
      <c r="C107" s="54">
        <v>51370</v>
      </c>
      <c r="D107" s="53" t="s">
        <v>37</v>
      </c>
      <c r="E107" s="54">
        <v>180</v>
      </c>
      <c r="F107" s="54">
        <v>18</v>
      </c>
      <c r="G107" s="54">
        <v>268</v>
      </c>
      <c r="H107" s="54">
        <v>268</v>
      </c>
      <c r="I107" s="54"/>
      <c r="J107" s="58">
        <v>46282</v>
      </c>
      <c r="K107" s="60">
        <v>37.75</v>
      </c>
      <c r="L107" s="60">
        <f t="shared" si="16"/>
        <v>10117</v>
      </c>
      <c r="M107" s="57">
        <f t="shared" ref="M107:M110" si="17">+K107*H107</f>
        <v>10117</v>
      </c>
      <c r="N107" s="60">
        <v>0</v>
      </c>
      <c r="O107" s="61" t="s">
        <v>24</v>
      </c>
    </row>
    <row r="108" spans="1:15" s="12" customFormat="1" ht="30" customHeight="1" x14ac:dyDescent="0.35">
      <c r="A108" s="54">
        <v>8</v>
      </c>
      <c r="B108" s="62">
        <v>46155</v>
      </c>
      <c r="C108" s="54">
        <v>51371</v>
      </c>
      <c r="D108" s="53" t="s">
        <v>37</v>
      </c>
      <c r="E108" s="54">
        <v>180</v>
      </c>
      <c r="F108" s="54">
        <v>18</v>
      </c>
      <c r="G108" s="54">
        <v>270</v>
      </c>
      <c r="H108" s="54">
        <v>270</v>
      </c>
      <c r="I108" s="54"/>
      <c r="J108" s="58">
        <v>46282</v>
      </c>
      <c r="K108" s="60">
        <v>37.75</v>
      </c>
      <c r="L108" s="60">
        <f t="shared" si="16"/>
        <v>10192.5</v>
      </c>
      <c r="M108" s="57">
        <f t="shared" si="17"/>
        <v>10192.5</v>
      </c>
      <c r="N108" s="60">
        <v>0</v>
      </c>
      <c r="O108" s="61" t="s">
        <v>24</v>
      </c>
    </row>
    <row r="109" spans="1:15" s="12" customFormat="1" ht="30" customHeight="1" x14ac:dyDescent="0.35">
      <c r="A109" s="54">
        <v>9</v>
      </c>
      <c r="B109" s="62">
        <v>46155</v>
      </c>
      <c r="C109" s="54">
        <v>51373</v>
      </c>
      <c r="D109" s="53" t="s">
        <v>37</v>
      </c>
      <c r="E109" s="54">
        <v>180</v>
      </c>
      <c r="F109" s="54">
        <v>18</v>
      </c>
      <c r="G109" s="54">
        <v>287</v>
      </c>
      <c r="H109" s="54">
        <v>287</v>
      </c>
      <c r="I109" s="54"/>
      <c r="J109" s="58">
        <v>46284</v>
      </c>
      <c r="K109" s="60">
        <v>37.75</v>
      </c>
      <c r="L109" s="60">
        <f t="shared" si="16"/>
        <v>10834.25</v>
      </c>
      <c r="M109" s="57">
        <f t="shared" si="17"/>
        <v>10834.25</v>
      </c>
      <c r="N109" s="60">
        <v>0</v>
      </c>
      <c r="O109" s="61" t="s">
        <v>24</v>
      </c>
    </row>
    <row r="110" spans="1:15" s="12" customFormat="1" ht="30" customHeight="1" x14ac:dyDescent="0.35">
      <c r="A110" s="54">
        <v>10</v>
      </c>
      <c r="B110" s="62">
        <v>46155</v>
      </c>
      <c r="C110" s="54">
        <v>51374</v>
      </c>
      <c r="D110" s="53" t="s">
        <v>37</v>
      </c>
      <c r="E110" s="54">
        <v>180</v>
      </c>
      <c r="F110" s="54">
        <v>18</v>
      </c>
      <c r="G110" s="54">
        <v>288</v>
      </c>
      <c r="H110" s="54">
        <v>288</v>
      </c>
      <c r="I110" s="54"/>
      <c r="J110" s="58">
        <v>46282</v>
      </c>
      <c r="K110" s="60">
        <v>37.75</v>
      </c>
      <c r="L110" s="60">
        <f t="shared" si="16"/>
        <v>10872</v>
      </c>
      <c r="M110" s="57">
        <f t="shared" si="17"/>
        <v>10872</v>
      </c>
      <c r="N110" s="60">
        <v>0</v>
      </c>
      <c r="O110" s="61" t="s">
        <v>24</v>
      </c>
    </row>
    <row r="111" spans="1:15" s="12" customFormat="1" ht="30" customHeight="1" x14ac:dyDescent="0.35">
      <c r="A111" s="23"/>
      <c r="B111" s="40"/>
      <c r="C111" s="23"/>
      <c r="D111" s="14"/>
      <c r="E111" s="23"/>
      <c r="F111" s="23"/>
      <c r="G111" s="23"/>
      <c r="H111" s="29"/>
      <c r="I111" s="23"/>
      <c r="J111" s="2"/>
      <c r="K111" s="33"/>
      <c r="L111" s="38">
        <f t="shared" si="16"/>
        <v>0</v>
      </c>
      <c r="M111" s="38"/>
      <c r="N111" s="38"/>
      <c r="O111" s="22"/>
    </row>
    <row r="112" spans="1:15" s="12" customFormat="1" ht="30" customHeight="1" x14ac:dyDescent="0.35">
      <c r="A112" s="23"/>
      <c r="B112" s="40"/>
      <c r="C112" s="23"/>
      <c r="D112" s="14"/>
      <c r="E112" s="23"/>
      <c r="F112" s="23"/>
      <c r="G112" s="23"/>
      <c r="H112" s="29"/>
      <c r="I112" s="23"/>
      <c r="J112" s="2"/>
      <c r="K112" s="33"/>
      <c r="L112" s="38">
        <f t="shared" si="16"/>
        <v>0</v>
      </c>
      <c r="M112" s="38"/>
      <c r="N112" s="38"/>
      <c r="O112" s="22"/>
    </row>
    <row r="113" spans="1:15" s="12" customFormat="1" ht="30" customHeight="1" thickBot="1" x14ac:dyDescent="0.4">
      <c r="A113" s="24"/>
      <c r="B113" s="41"/>
      <c r="C113" s="24"/>
      <c r="D113" s="14"/>
      <c r="E113" s="24"/>
      <c r="F113" s="24"/>
      <c r="G113" s="24"/>
      <c r="H113" s="30"/>
      <c r="I113" s="24"/>
      <c r="J113" s="2"/>
      <c r="K113" s="33"/>
      <c r="L113" s="38">
        <f t="shared" si="16"/>
        <v>0</v>
      </c>
      <c r="M113" s="38"/>
      <c r="N113" s="38"/>
      <c r="O113" s="22"/>
    </row>
    <row r="114" spans="1:15" ht="30" customHeight="1" thickBot="1" x14ac:dyDescent="0.4">
      <c r="A114" s="83" t="s">
        <v>12</v>
      </c>
      <c r="B114" s="84"/>
      <c r="C114" s="84"/>
      <c r="D114" s="84"/>
      <c r="E114" s="84"/>
      <c r="F114" s="85"/>
      <c r="G114" s="18">
        <f>+SUM(G101:G113)</f>
        <v>2911</v>
      </c>
      <c r="H114" s="18">
        <f>+SUM(H101:H113)</f>
        <v>1113</v>
      </c>
      <c r="I114" s="21">
        <f>+G114-H114</f>
        <v>1798</v>
      </c>
      <c r="J114" s="36"/>
      <c r="K114" s="34"/>
      <c r="L114" s="34">
        <f>+SUM(L101:L113)</f>
        <v>109890.25</v>
      </c>
      <c r="M114" s="34"/>
      <c r="N114" s="67">
        <f>SUM(N101:N113)</f>
        <v>56625</v>
      </c>
      <c r="O114" s="3"/>
    </row>
    <row r="115" spans="1:15" ht="30" customHeight="1" x14ac:dyDescent="0.35">
      <c r="A115" s="118" t="s">
        <v>27</v>
      </c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4"/>
    </row>
    <row r="116" spans="1:15" ht="30" customHeight="1" thickBot="1" x14ac:dyDescent="0.4">
      <c r="A116" s="115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7"/>
    </row>
    <row r="117" spans="1:15" s="4" customFormat="1" ht="38.25" customHeight="1" x14ac:dyDescent="0.35">
      <c r="A117" s="10" t="s">
        <v>2</v>
      </c>
      <c r="B117" s="88" t="s">
        <v>20</v>
      </c>
      <c r="C117" s="79" t="s">
        <v>19</v>
      </c>
      <c r="D117" s="48" t="s">
        <v>6</v>
      </c>
      <c r="E117" s="79" t="s">
        <v>7</v>
      </c>
      <c r="F117" s="81" t="s">
        <v>5</v>
      </c>
      <c r="G117" s="75" t="s">
        <v>4</v>
      </c>
      <c r="H117" s="75" t="s">
        <v>10</v>
      </c>
      <c r="I117" s="75" t="s">
        <v>11</v>
      </c>
      <c r="J117" s="77" t="s">
        <v>8</v>
      </c>
      <c r="K117" s="75" t="s">
        <v>16</v>
      </c>
      <c r="L117" s="75" t="s">
        <v>21</v>
      </c>
      <c r="M117" s="75" t="s">
        <v>48</v>
      </c>
      <c r="N117" s="75" t="s">
        <v>49</v>
      </c>
      <c r="O117" s="86" t="s">
        <v>9</v>
      </c>
    </row>
    <row r="118" spans="1:15" ht="28.5" customHeight="1" thickBot="1" x14ac:dyDescent="0.4">
      <c r="A118" s="68">
        <v>1</v>
      </c>
      <c r="B118" s="89"/>
      <c r="C118" s="80"/>
      <c r="D118" s="64" t="s">
        <v>31</v>
      </c>
      <c r="E118" s="80"/>
      <c r="F118" s="82"/>
      <c r="G118" s="76"/>
      <c r="H118" s="76"/>
      <c r="I118" s="76"/>
      <c r="J118" s="78"/>
      <c r="K118" s="76"/>
      <c r="L118" s="76"/>
      <c r="M118" s="76"/>
      <c r="N118" s="76"/>
      <c r="O118" s="87"/>
    </row>
    <row r="119" spans="1:15" ht="30" customHeight="1" x14ac:dyDescent="0.35">
      <c r="A119" s="50">
        <v>1</v>
      </c>
      <c r="B119" s="51">
        <v>46113</v>
      </c>
      <c r="C119" s="52" t="s">
        <v>28</v>
      </c>
      <c r="D119" s="53" t="s">
        <v>33</v>
      </c>
      <c r="E119" s="52">
        <v>200</v>
      </c>
      <c r="F119" s="54"/>
      <c r="G119" s="52">
        <v>744</v>
      </c>
      <c r="H119" s="52">
        <v>744</v>
      </c>
      <c r="I119" s="52"/>
      <c r="J119" s="56"/>
      <c r="K119" s="57">
        <v>49.75</v>
      </c>
      <c r="L119" s="60">
        <f t="shared" ref="L119:L135" si="18">+G119*K119</f>
        <v>37014</v>
      </c>
      <c r="M119" s="57">
        <f>+K119*H119</f>
        <v>37014</v>
      </c>
      <c r="N119" s="60">
        <v>0</v>
      </c>
      <c r="O119" s="58" t="s">
        <v>25</v>
      </c>
    </row>
    <row r="120" spans="1:15" ht="30" customHeight="1" x14ac:dyDescent="0.35">
      <c r="A120" s="13">
        <v>2</v>
      </c>
      <c r="B120" s="42">
        <v>46113</v>
      </c>
      <c r="C120" s="15" t="s">
        <v>29</v>
      </c>
      <c r="D120" s="14" t="s">
        <v>33</v>
      </c>
      <c r="E120" s="15">
        <v>200</v>
      </c>
      <c r="F120" s="16"/>
      <c r="G120" s="15">
        <v>728</v>
      </c>
      <c r="H120" s="20"/>
      <c r="I120" s="15"/>
      <c r="J120" s="26"/>
      <c r="K120" s="31">
        <v>49.75</v>
      </c>
      <c r="L120" s="38">
        <f t="shared" si="18"/>
        <v>36218</v>
      </c>
      <c r="M120" s="38">
        <f>+K120*H120</f>
        <v>0</v>
      </c>
      <c r="N120" s="38">
        <v>36218</v>
      </c>
      <c r="O120" s="2" t="s">
        <v>25</v>
      </c>
    </row>
    <row r="121" spans="1:15" ht="30" customHeight="1" x14ac:dyDescent="0.35">
      <c r="A121" s="50">
        <v>3</v>
      </c>
      <c r="B121" s="51">
        <v>46113</v>
      </c>
      <c r="C121" s="52" t="s">
        <v>30</v>
      </c>
      <c r="D121" s="53" t="s">
        <v>33</v>
      </c>
      <c r="E121" s="52">
        <v>200</v>
      </c>
      <c r="F121" s="54"/>
      <c r="G121" s="52">
        <v>734</v>
      </c>
      <c r="H121" s="52">
        <v>734</v>
      </c>
      <c r="I121" s="52"/>
      <c r="J121" s="56">
        <v>46301</v>
      </c>
      <c r="K121" s="57">
        <v>49.75</v>
      </c>
      <c r="L121" s="60">
        <f t="shared" si="18"/>
        <v>36516.5</v>
      </c>
      <c r="M121" s="57">
        <f>+K121*H121</f>
        <v>36516.5</v>
      </c>
      <c r="N121" s="60">
        <v>0</v>
      </c>
      <c r="O121" s="58" t="s">
        <v>25</v>
      </c>
    </row>
    <row r="122" spans="1:15" ht="30" customHeight="1" x14ac:dyDescent="0.35">
      <c r="A122" s="50">
        <v>4</v>
      </c>
      <c r="B122" s="51">
        <v>46292</v>
      </c>
      <c r="C122" s="52">
        <v>17</v>
      </c>
      <c r="D122" s="53" t="s">
        <v>33</v>
      </c>
      <c r="E122" s="52">
        <v>200</v>
      </c>
      <c r="F122" s="54"/>
      <c r="G122" s="52">
        <v>659</v>
      </c>
      <c r="H122" s="55">
        <v>659</v>
      </c>
      <c r="I122" s="52"/>
      <c r="J122" s="56">
        <v>46301</v>
      </c>
      <c r="K122" s="57">
        <v>48</v>
      </c>
      <c r="L122" s="60">
        <f t="shared" si="18"/>
        <v>31632</v>
      </c>
      <c r="M122" s="60">
        <f t="shared" ref="M122:M125" si="19">+K122*H122</f>
        <v>31632</v>
      </c>
      <c r="N122" s="60">
        <v>0</v>
      </c>
      <c r="O122" s="58" t="s">
        <v>47</v>
      </c>
    </row>
    <row r="123" spans="1:15" ht="30" customHeight="1" x14ac:dyDescent="0.35">
      <c r="A123" s="13">
        <v>5</v>
      </c>
      <c r="B123" s="42">
        <v>46292</v>
      </c>
      <c r="C123" s="15">
        <v>18</v>
      </c>
      <c r="D123" s="37" t="s">
        <v>33</v>
      </c>
      <c r="E123" s="15">
        <v>200</v>
      </c>
      <c r="F123" s="16"/>
      <c r="G123" s="15">
        <v>650</v>
      </c>
      <c r="H123" s="20"/>
      <c r="I123" s="15"/>
      <c r="J123" s="26"/>
      <c r="K123" s="31">
        <v>48</v>
      </c>
      <c r="L123" s="38">
        <f t="shared" si="18"/>
        <v>31200</v>
      </c>
      <c r="M123" s="38">
        <f t="shared" si="19"/>
        <v>0</v>
      </c>
      <c r="N123" s="38">
        <v>36218</v>
      </c>
      <c r="O123" s="2" t="s">
        <v>47</v>
      </c>
    </row>
    <row r="124" spans="1:15" ht="30" customHeight="1" x14ac:dyDescent="0.35">
      <c r="A124" s="13">
        <v>6</v>
      </c>
      <c r="B124" s="42">
        <v>46292</v>
      </c>
      <c r="C124" s="15">
        <v>20</v>
      </c>
      <c r="D124" s="37" t="s">
        <v>33</v>
      </c>
      <c r="E124" s="15">
        <v>200</v>
      </c>
      <c r="F124" s="16"/>
      <c r="G124" s="15">
        <v>661</v>
      </c>
      <c r="H124" s="20"/>
      <c r="I124" s="15"/>
      <c r="J124" s="26"/>
      <c r="K124" s="31">
        <v>48</v>
      </c>
      <c r="L124" s="38">
        <f t="shared" si="18"/>
        <v>31728</v>
      </c>
      <c r="M124" s="38">
        <f t="shared" si="19"/>
        <v>0</v>
      </c>
      <c r="N124" s="38">
        <v>36218</v>
      </c>
      <c r="O124" s="2" t="s">
        <v>47</v>
      </c>
    </row>
    <row r="125" spans="1:15" ht="30" customHeight="1" x14ac:dyDescent="0.35">
      <c r="A125" s="13">
        <v>7</v>
      </c>
      <c r="B125" s="42">
        <v>46292</v>
      </c>
      <c r="C125" s="15">
        <v>15</v>
      </c>
      <c r="D125" s="37" t="s">
        <v>33</v>
      </c>
      <c r="E125" s="15">
        <v>200</v>
      </c>
      <c r="F125" s="16"/>
      <c r="G125" s="15">
        <v>649</v>
      </c>
      <c r="H125" s="20"/>
      <c r="I125" s="15"/>
      <c r="J125" s="26"/>
      <c r="K125" s="31">
        <v>48</v>
      </c>
      <c r="L125" s="38">
        <f t="shared" si="18"/>
        <v>31152</v>
      </c>
      <c r="M125" s="38">
        <f t="shared" si="19"/>
        <v>0</v>
      </c>
      <c r="N125" s="38">
        <v>36218</v>
      </c>
      <c r="O125" s="2" t="s">
        <v>47</v>
      </c>
    </row>
    <row r="126" spans="1:15" ht="30" customHeight="1" x14ac:dyDescent="0.35">
      <c r="A126" s="13">
        <v>8</v>
      </c>
      <c r="B126" s="42"/>
      <c r="C126" s="15"/>
      <c r="D126" s="37"/>
      <c r="E126" s="15"/>
      <c r="F126" s="16"/>
      <c r="G126" s="15"/>
      <c r="H126" s="20"/>
      <c r="I126" s="15"/>
      <c r="J126" s="26"/>
      <c r="K126" s="31"/>
      <c r="L126" s="38">
        <f t="shared" si="18"/>
        <v>0</v>
      </c>
      <c r="M126" s="38"/>
      <c r="N126" s="38"/>
      <c r="O126" s="2"/>
    </row>
    <row r="127" spans="1:15" ht="30" customHeight="1" x14ac:dyDescent="0.35">
      <c r="A127" s="13">
        <v>9</v>
      </c>
      <c r="B127" s="42"/>
      <c r="C127" s="15"/>
      <c r="D127" s="14"/>
      <c r="E127" s="15"/>
      <c r="F127" s="16"/>
      <c r="G127" s="15"/>
      <c r="H127" s="20"/>
      <c r="I127" s="15"/>
      <c r="J127" s="26"/>
      <c r="K127" s="31"/>
      <c r="L127" s="38">
        <f t="shared" si="18"/>
        <v>0</v>
      </c>
      <c r="M127" s="38"/>
      <c r="N127" s="38"/>
      <c r="O127" s="2"/>
    </row>
    <row r="128" spans="1:15" ht="30" customHeight="1" x14ac:dyDescent="0.35">
      <c r="A128" s="13">
        <v>10</v>
      </c>
      <c r="B128" s="42"/>
      <c r="C128" s="15"/>
      <c r="D128" s="14"/>
      <c r="E128" s="15"/>
      <c r="F128" s="16"/>
      <c r="G128" s="15"/>
      <c r="H128" s="20"/>
      <c r="I128" s="15"/>
      <c r="J128" s="26"/>
      <c r="K128" s="31"/>
      <c r="L128" s="38">
        <f t="shared" si="18"/>
        <v>0</v>
      </c>
      <c r="M128" s="38"/>
      <c r="N128" s="38"/>
      <c r="O128" s="2"/>
    </row>
    <row r="129" spans="1:15" ht="30" customHeight="1" x14ac:dyDescent="0.35">
      <c r="A129" s="13"/>
      <c r="B129" s="42"/>
      <c r="C129" s="15"/>
      <c r="D129" s="14"/>
      <c r="E129" s="15"/>
      <c r="F129" s="16"/>
      <c r="G129" s="15"/>
      <c r="H129" s="20"/>
      <c r="I129" s="15"/>
      <c r="J129" s="26"/>
      <c r="K129" s="31"/>
      <c r="L129" s="38">
        <f t="shared" si="18"/>
        <v>0</v>
      </c>
      <c r="M129" s="38"/>
      <c r="N129" s="38"/>
      <c r="O129" s="2"/>
    </row>
    <row r="130" spans="1:15" ht="30" customHeight="1" x14ac:dyDescent="0.35">
      <c r="A130" s="13"/>
      <c r="B130" s="42"/>
      <c r="C130" s="15"/>
      <c r="D130" s="14"/>
      <c r="E130" s="15"/>
      <c r="F130" s="16"/>
      <c r="G130" s="15"/>
      <c r="H130" s="20"/>
      <c r="I130" s="15"/>
      <c r="J130" s="26"/>
      <c r="K130" s="31"/>
      <c r="L130" s="38">
        <f t="shared" si="18"/>
        <v>0</v>
      </c>
      <c r="M130" s="38"/>
      <c r="N130" s="38"/>
      <c r="O130" s="2"/>
    </row>
    <row r="131" spans="1:15" ht="30" customHeight="1" x14ac:dyDescent="0.35">
      <c r="A131" s="13"/>
      <c r="B131" s="42"/>
      <c r="C131" s="15"/>
      <c r="D131" s="14"/>
      <c r="E131" s="15"/>
      <c r="F131" s="16"/>
      <c r="G131" s="15"/>
      <c r="H131" s="20"/>
      <c r="I131" s="15"/>
      <c r="J131" s="26"/>
      <c r="K131" s="31"/>
      <c r="L131" s="38">
        <f t="shared" si="18"/>
        <v>0</v>
      </c>
      <c r="M131" s="38"/>
      <c r="N131" s="38"/>
      <c r="O131" s="2"/>
    </row>
    <row r="132" spans="1:15" ht="30" customHeight="1" x14ac:dyDescent="0.35">
      <c r="A132" s="13"/>
      <c r="B132" s="42"/>
      <c r="C132" s="15"/>
      <c r="D132" s="14"/>
      <c r="E132" s="15"/>
      <c r="F132" s="16"/>
      <c r="G132" s="15"/>
      <c r="H132" s="20"/>
      <c r="I132" s="15"/>
      <c r="J132" s="26"/>
      <c r="K132" s="31"/>
      <c r="L132" s="38">
        <f t="shared" si="18"/>
        <v>0</v>
      </c>
      <c r="M132" s="38"/>
      <c r="N132" s="38"/>
      <c r="O132" s="2"/>
    </row>
    <row r="133" spans="1:15" ht="30" customHeight="1" x14ac:dyDescent="0.35">
      <c r="A133" s="13"/>
      <c r="B133" s="42"/>
      <c r="C133" s="15"/>
      <c r="D133" s="14"/>
      <c r="E133" s="15"/>
      <c r="F133" s="16"/>
      <c r="G133" s="15"/>
      <c r="H133" s="20"/>
      <c r="I133" s="15"/>
      <c r="J133" s="26"/>
      <c r="K133" s="31"/>
      <c r="L133" s="38">
        <f t="shared" si="18"/>
        <v>0</v>
      </c>
      <c r="M133" s="38"/>
      <c r="N133" s="38"/>
      <c r="O133" s="2"/>
    </row>
    <row r="134" spans="1:15" ht="30" customHeight="1" x14ac:dyDescent="0.35">
      <c r="A134" s="13"/>
      <c r="B134" s="42"/>
      <c r="C134" s="15"/>
      <c r="D134" s="14"/>
      <c r="E134" s="15"/>
      <c r="F134" s="16"/>
      <c r="G134" s="15"/>
      <c r="H134" s="20"/>
      <c r="I134" s="15"/>
      <c r="J134" s="26"/>
      <c r="K134" s="31"/>
      <c r="L134" s="38">
        <f t="shared" si="18"/>
        <v>0</v>
      </c>
      <c r="M134" s="38"/>
      <c r="N134" s="38"/>
      <c r="O134" s="2"/>
    </row>
    <row r="135" spans="1:15" s="12" customFormat="1" ht="28.5" customHeight="1" thickBot="1" x14ac:dyDescent="0.4">
      <c r="A135" s="13"/>
      <c r="B135" s="42"/>
      <c r="C135" s="15"/>
      <c r="D135" s="14"/>
      <c r="E135" s="15"/>
      <c r="F135" s="16"/>
      <c r="G135" s="15"/>
      <c r="H135" s="20"/>
      <c r="I135" s="15"/>
      <c r="J135" s="26"/>
      <c r="K135" s="31"/>
      <c r="L135" s="38">
        <f t="shared" si="18"/>
        <v>0</v>
      </c>
      <c r="M135" s="38"/>
      <c r="N135" s="38"/>
      <c r="O135" s="2"/>
    </row>
    <row r="136" spans="1:15" ht="30" customHeight="1" thickBot="1" x14ac:dyDescent="0.4">
      <c r="A136" s="83" t="s">
        <v>12</v>
      </c>
      <c r="B136" s="84"/>
      <c r="C136" s="84"/>
      <c r="D136" s="84"/>
      <c r="E136" s="84"/>
      <c r="F136" s="85"/>
      <c r="G136" s="18">
        <f>+SUM(G119:G119)</f>
        <v>744</v>
      </c>
      <c r="H136" s="18">
        <f>+SUM(H119:H119)</f>
        <v>744</v>
      </c>
      <c r="I136" s="21">
        <f>+G136-H136</f>
        <v>0</v>
      </c>
      <c r="J136" s="36"/>
      <c r="K136" s="35"/>
      <c r="L136" s="34">
        <f>+SUM(L119:L119)</f>
        <v>37014</v>
      </c>
      <c r="M136" s="34"/>
      <c r="N136" s="67">
        <f>SUM(N119:N135)</f>
        <v>144872</v>
      </c>
      <c r="O136" s="3"/>
    </row>
    <row r="137" spans="1:15" ht="30" customHeight="1" x14ac:dyDescent="0.35">
      <c r="A137" s="118" t="s">
        <v>32</v>
      </c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4"/>
    </row>
    <row r="138" spans="1:15" ht="30" customHeight="1" thickBot="1" x14ac:dyDescent="0.4">
      <c r="A138" s="115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7"/>
    </row>
    <row r="139" spans="1:15" s="4" customFormat="1" ht="38.25" customHeight="1" x14ac:dyDescent="0.35">
      <c r="A139" s="10" t="s">
        <v>2</v>
      </c>
      <c r="B139" s="88" t="s">
        <v>20</v>
      </c>
      <c r="C139" s="79" t="s">
        <v>19</v>
      </c>
      <c r="D139" s="48" t="s">
        <v>6</v>
      </c>
      <c r="E139" s="79" t="s">
        <v>7</v>
      </c>
      <c r="F139" s="81" t="s">
        <v>5</v>
      </c>
      <c r="G139" s="75" t="s">
        <v>4</v>
      </c>
      <c r="H139" s="75" t="s">
        <v>10</v>
      </c>
      <c r="I139" s="75" t="s">
        <v>11</v>
      </c>
      <c r="J139" s="77" t="s">
        <v>8</v>
      </c>
      <c r="K139" s="75" t="s">
        <v>16</v>
      </c>
      <c r="L139" s="75" t="s">
        <v>21</v>
      </c>
      <c r="M139" s="75" t="s">
        <v>48</v>
      </c>
      <c r="N139" s="75" t="s">
        <v>49</v>
      </c>
      <c r="O139" s="86" t="s">
        <v>9</v>
      </c>
    </row>
    <row r="140" spans="1:15" ht="28.5" customHeight="1" thickBot="1" x14ac:dyDescent="0.4">
      <c r="A140" s="73">
        <v>1</v>
      </c>
      <c r="B140" s="89"/>
      <c r="C140" s="80"/>
      <c r="D140" s="64" t="s">
        <v>56</v>
      </c>
      <c r="E140" s="80"/>
      <c r="F140" s="82"/>
      <c r="G140" s="76"/>
      <c r="H140" s="76"/>
      <c r="I140" s="76"/>
      <c r="J140" s="78"/>
      <c r="K140" s="76"/>
      <c r="L140" s="76"/>
      <c r="M140" s="76"/>
      <c r="N140" s="76"/>
      <c r="O140" s="87"/>
    </row>
    <row r="141" spans="1:15" s="12" customFormat="1" ht="28.5" customHeight="1" x14ac:dyDescent="0.35">
      <c r="A141" s="13">
        <v>1</v>
      </c>
      <c r="B141" s="42">
        <v>46292</v>
      </c>
      <c r="C141" s="15">
        <v>11</v>
      </c>
      <c r="D141" s="14" t="s">
        <v>57</v>
      </c>
      <c r="E141" s="15">
        <v>250</v>
      </c>
      <c r="F141" s="16"/>
      <c r="G141" s="15">
        <v>745</v>
      </c>
      <c r="H141" s="20"/>
      <c r="I141" s="15"/>
      <c r="J141" s="26"/>
      <c r="K141" s="31">
        <v>46</v>
      </c>
      <c r="L141" s="38">
        <f t="shared" ref="L141:L153" si="20">+G141*K141</f>
        <v>34270</v>
      </c>
      <c r="M141" s="38">
        <f t="shared" ref="M141:M143" si="21">+K141*H141</f>
        <v>0</v>
      </c>
      <c r="N141" s="38">
        <v>22983</v>
      </c>
      <c r="O141" s="2" t="s">
        <v>47</v>
      </c>
    </row>
    <row r="142" spans="1:15" s="12" customFormat="1" ht="28.5" customHeight="1" x14ac:dyDescent="0.35">
      <c r="A142" s="13">
        <v>2</v>
      </c>
      <c r="B142" s="42">
        <v>46292</v>
      </c>
      <c r="C142" s="15">
        <v>14</v>
      </c>
      <c r="D142" s="14" t="s">
        <v>57</v>
      </c>
      <c r="E142" s="15">
        <v>250</v>
      </c>
      <c r="F142" s="16"/>
      <c r="G142" s="15">
        <v>759</v>
      </c>
      <c r="H142" s="20"/>
      <c r="I142" s="15"/>
      <c r="J142" s="26"/>
      <c r="K142" s="31">
        <v>46</v>
      </c>
      <c r="L142" s="38">
        <f t="shared" si="20"/>
        <v>34914</v>
      </c>
      <c r="M142" s="38">
        <f t="shared" si="21"/>
        <v>0</v>
      </c>
      <c r="N142" s="38">
        <v>22795</v>
      </c>
      <c r="O142" s="2" t="s">
        <v>47</v>
      </c>
    </row>
    <row r="143" spans="1:15" s="12" customFormat="1" ht="28.5" customHeight="1" x14ac:dyDescent="0.35">
      <c r="A143" s="13">
        <v>3</v>
      </c>
      <c r="B143" s="42">
        <v>46292</v>
      </c>
      <c r="C143" s="15">
        <v>10</v>
      </c>
      <c r="D143" s="14" t="s">
        <v>57</v>
      </c>
      <c r="E143" s="15">
        <v>250</v>
      </c>
      <c r="F143" s="16"/>
      <c r="G143" s="15">
        <v>343</v>
      </c>
      <c r="H143" s="20"/>
      <c r="I143" s="15"/>
      <c r="J143" s="26"/>
      <c r="K143" s="31">
        <v>46</v>
      </c>
      <c r="L143" s="38">
        <f t="shared" si="20"/>
        <v>15778</v>
      </c>
      <c r="M143" s="38">
        <f t="shared" si="21"/>
        <v>0</v>
      </c>
      <c r="N143" s="38">
        <v>22936</v>
      </c>
      <c r="O143" s="2" t="s">
        <v>47</v>
      </c>
    </row>
    <row r="144" spans="1:15" s="12" customFormat="1" ht="28.5" customHeight="1" x14ac:dyDescent="0.35">
      <c r="A144" s="13">
        <v>4</v>
      </c>
      <c r="B144" s="42"/>
      <c r="C144" s="15"/>
      <c r="D144" s="14"/>
      <c r="E144" s="15"/>
      <c r="F144" s="16"/>
      <c r="G144" s="15"/>
      <c r="H144" s="20"/>
      <c r="I144" s="15"/>
      <c r="J144" s="26"/>
      <c r="K144" s="31"/>
      <c r="L144" s="38">
        <f t="shared" si="20"/>
        <v>0</v>
      </c>
      <c r="M144" s="38"/>
      <c r="N144" s="38"/>
      <c r="O144" s="2"/>
    </row>
    <row r="145" spans="1:21" s="12" customFormat="1" ht="28.5" customHeight="1" x14ac:dyDescent="0.35">
      <c r="A145" s="13">
        <v>5</v>
      </c>
      <c r="B145" s="42"/>
      <c r="C145" s="15"/>
      <c r="D145" s="14"/>
      <c r="E145" s="15"/>
      <c r="F145" s="16"/>
      <c r="G145" s="15"/>
      <c r="H145" s="20"/>
      <c r="I145" s="15"/>
      <c r="J145" s="26"/>
      <c r="K145" s="31"/>
      <c r="L145" s="38">
        <f t="shared" si="20"/>
        <v>0</v>
      </c>
      <c r="M145" s="38"/>
      <c r="N145" s="38"/>
      <c r="O145" s="2"/>
    </row>
    <row r="146" spans="1:21" s="12" customFormat="1" ht="28.5" customHeight="1" x14ac:dyDescent="0.35">
      <c r="A146" s="13">
        <v>6</v>
      </c>
      <c r="B146" s="42"/>
      <c r="C146" s="15"/>
      <c r="D146" s="14"/>
      <c r="E146" s="15"/>
      <c r="F146" s="16"/>
      <c r="G146" s="15"/>
      <c r="H146" s="20"/>
      <c r="I146" s="15"/>
      <c r="J146" s="26"/>
      <c r="K146" s="31"/>
      <c r="L146" s="38">
        <f t="shared" si="20"/>
        <v>0</v>
      </c>
      <c r="M146" s="38"/>
      <c r="N146" s="38"/>
      <c r="O146" s="2"/>
    </row>
    <row r="147" spans="1:21" s="12" customFormat="1" ht="28.5" customHeight="1" x14ac:dyDescent="0.35">
      <c r="A147" s="13">
        <v>7</v>
      </c>
      <c r="B147" s="42"/>
      <c r="C147" s="15"/>
      <c r="D147" s="14"/>
      <c r="E147" s="15"/>
      <c r="F147" s="16"/>
      <c r="G147" s="15"/>
      <c r="H147" s="20"/>
      <c r="I147" s="15"/>
      <c r="J147" s="26"/>
      <c r="K147" s="31"/>
      <c r="L147" s="38">
        <f t="shared" si="20"/>
        <v>0</v>
      </c>
      <c r="M147" s="38"/>
      <c r="N147" s="38"/>
      <c r="O147" s="2"/>
    </row>
    <row r="148" spans="1:21" s="12" customFormat="1" ht="28.5" customHeight="1" x14ac:dyDescent="0.35">
      <c r="A148" s="13">
        <v>8</v>
      </c>
      <c r="B148" s="42"/>
      <c r="C148" s="15"/>
      <c r="D148" s="14"/>
      <c r="E148" s="15"/>
      <c r="F148" s="16"/>
      <c r="G148" s="15"/>
      <c r="H148" s="20"/>
      <c r="I148" s="15"/>
      <c r="J148" s="26"/>
      <c r="K148" s="31"/>
      <c r="L148" s="38">
        <f t="shared" si="20"/>
        <v>0</v>
      </c>
      <c r="M148" s="38"/>
      <c r="N148" s="38"/>
      <c r="O148" s="2"/>
    </row>
    <row r="149" spans="1:21" s="12" customFormat="1" ht="28.5" customHeight="1" x14ac:dyDescent="0.35">
      <c r="A149" s="13">
        <v>9</v>
      </c>
      <c r="B149" s="42"/>
      <c r="C149" s="15"/>
      <c r="D149" s="14"/>
      <c r="E149" s="15"/>
      <c r="F149" s="16"/>
      <c r="G149" s="15"/>
      <c r="H149" s="20"/>
      <c r="I149" s="15"/>
      <c r="J149" s="26"/>
      <c r="K149" s="31"/>
      <c r="L149" s="38">
        <f t="shared" si="20"/>
        <v>0</v>
      </c>
      <c r="M149" s="38"/>
      <c r="N149" s="38"/>
      <c r="O149" s="2"/>
    </row>
    <row r="150" spans="1:21" s="12" customFormat="1" ht="28.5" customHeight="1" x14ac:dyDescent="0.35">
      <c r="A150" s="13"/>
      <c r="B150" s="42"/>
      <c r="C150" s="15"/>
      <c r="D150" s="14"/>
      <c r="E150" s="15"/>
      <c r="F150" s="16"/>
      <c r="G150" s="15"/>
      <c r="H150" s="20"/>
      <c r="I150" s="15"/>
      <c r="J150" s="26"/>
      <c r="K150" s="31"/>
      <c r="L150" s="38">
        <f t="shared" si="20"/>
        <v>0</v>
      </c>
      <c r="M150" s="38"/>
      <c r="N150" s="38"/>
      <c r="O150" s="2"/>
    </row>
    <row r="151" spans="1:21" s="12" customFormat="1" ht="28.5" customHeight="1" x14ac:dyDescent="0.35">
      <c r="A151" s="13"/>
      <c r="B151" s="42"/>
      <c r="C151" s="15"/>
      <c r="D151" s="14"/>
      <c r="E151" s="15"/>
      <c r="F151" s="16"/>
      <c r="G151" s="15"/>
      <c r="H151" s="20"/>
      <c r="I151" s="15"/>
      <c r="J151" s="26"/>
      <c r="K151" s="31"/>
      <c r="L151" s="38">
        <f t="shared" si="20"/>
        <v>0</v>
      </c>
      <c r="M151" s="38"/>
      <c r="N151" s="38"/>
      <c r="O151" s="2"/>
    </row>
    <row r="152" spans="1:21" s="12" customFormat="1" ht="28.5" customHeight="1" x14ac:dyDescent="0.35">
      <c r="A152" s="13"/>
      <c r="B152" s="42"/>
      <c r="C152" s="15"/>
      <c r="D152" s="14"/>
      <c r="E152" s="15"/>
      <c r="F152" s="16"/>
      <c r="G152" s="15"/>
      <c r="H152" s="20"/>
      <c r="I152" s="15"/>
      <c r="J152" s="26"/>
      <c r="K152" s="31"/>
      <c r="L152" s="38">
        <f t="shared" si="20"/>
        <v>0</v>
      </c>
      <c r="M152" s="38"/>
      <c r="N152" s="38"/>
      <c r="O152" s="2"/>
    </row>
    <row r="153" spans="1:21" s="12" customFormat="1" ht="28.5" customHeight="1" thickBot="1" x14ac:dyDescent="0.4">
      <c r="A153" s="13"/>
      <c r="B153" s="42"/>
      <c r="C153" s="15"/>
      <c r="D153" s="14"/>
      <c r="E153" s="15"/>
      <c r="F153" s="16"/>
      <c r="G153" s="15"/>
      <c r="H153" s="20"/>
      <c r="I153" s="15"/>
      <c r="J153" s="26"/>
      <c r="K153" s="31"/>
      <c r="L153" s="38">
        <f t="shared" si="20"/>
        <v>0</v>
      </c>
      <c r="M153" s="38"/>
      <c r="N153" s="38"/>
      <c r="O153" s="2"/>
    </row>
    <row r="154" spans="1:21" ht="30" customHeight="1" thickBot="1" x14ac:dyDescent="0.4">
      <c r="A154" s="83" t="s">
        <v>12</v>
      </c>
      <c r="B154" s="84"/>
      <c r="C154" s="84"/>
      <c r="D154" s="84"/>
      <c r="E154" s="84"/>
      <c r="F154" s="85"/>
      <c r="G154" s="18">
        <f>+SUM(G141:G153)</f>
        <v>1847</v>
      </c>
      <c r="H154" s="18">
        <f>+SUM(H141:H153)</f>
        <v>0</v>
      </c>
      <c r="I154" s="21">
        <f>+G154-H154</f>
        <v>1847</v>
      </c>
      <c r="J154" s="36"/>
      <c r="K154" s="35"/>
      <c r="L154" s="34">
        <f>+SUM(L141:L153)</f>
        <v>84962</v>
      </c>
      <c r="M154" s="34"/>
      <c r="N154" s="67">
        <f>SUM(N141:N153)</f>
        <v>68714</v>
      </c>
      <c r="O154" s="3"/>
    </row>
    <row r="155" spans="1:21" ht="30" customHeight="1" x14ac:dyDescent="0.35">
      <c r="A155" s="139" t="s">
        <v>34</v>
      </c>
      <c r="B155" s="140"/>
      <c r="C155" s="140"/>
      <c r="D155" s="140"/>
      <c r="E155" s="140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</row>
    <row r="156" spans="1:21" ht="30" customHeight="1" thickBot="1" x14ac:dyDescent="0.4">
      <c r="A156" s="138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63"/>
      <c r="Q156" s="63"/>
      <c r="R156" s="63"/>
      <c r="S156" s="63"/>
      <c r="T156" s="63"/>
      <c r="U156" s="63"/>
    </row>
    <row r="157" spans="1:21" s="4" customFormat="1" ht="38.25" customHeight="1" x14ac:dyDescent="0.35">
      <c r="A157" s="10" t="s">
        <v>2</v>
      </c>
      <c r="B157" s="88" t="s">
        <v>20</v>
      </c>
      <c r="C157" s="45" t="s">
        <v>19</v>
      </c>
      <c r="D157" s="48" t="s">
        <v>6</v>
      </c>
      <c r="E157" s="79" t="s">
        <v>7</v>
      </c>
      <c r="F157" s="81" t="s">
        <v>5</v>
      </c>
      <c r="G157" s="75" t="s">
        <v>4</v>
      </c>
      <c r="H157" s="75" t="s">
        <v>10</v>
      </c>
      <c r="I157" s="75" t="s">
        <v>11</v>
      </c>
      <c r="J157" s="77" t="s">
        <v>8</v>
      </c>
      <c r="K157" s="75" t="s">
        <v>16</v>
      </c>
      <c r="L157" s="75" t="s">
        <v>21</v>
      </c>
      <c r="M157" s="75" t="s">
        <v>48</v>
      </c>
      <c r="N157" s="75" t="s">
        <v>49</v>
      </c>
      <c r="O157" s="86" t="s">
        <v>9</v>
      </c>
    </row>
    <row r="158" spans="1:21" ht="28.5" customHeight="1" thickBot="1" x14ac:dyDescent="0.4">
      <c r="A158" s="73">
        <v>1</v>
      </c>
      <c r="B158" s="89"/>
      <c r="C158" s="46"/>
      <c r="D158" s="49" t="s">
        <v>35</v>
      </c>
      <c r="E158" s="80"/>
      <c r="F158" s="82"/>
      <c r="G158" s="76"/>
      <c r="H158" s="76"/>
      <c r="I158" s="76"/>
      <c r="J158" s="78"/>
      <c r="K158" s="76"/>
      <c r="L158" s="76"/>
      <c r="M158" s="76"/>
      <c r="N158" s="76"/>
      <c r="O158" s="87"/>
    </row>
    <row r="159" spans="1:21" s="12" customFormat="1" ht="30" customHeight="1" x14ac:dyDescent="0.35">
      <c r="A159" s="23">
        <v>1</v>
      </c>
      <c r="B159" s="40">
        <v>46113</v>
      </c>
      <c r="C159" s="23"/>
      <c r="D159" s="14" t="s">
        <v>35</v>
      </c>
      <c r="E159" s="23">
        <v>230</v>
      </c>
      <c r="F159" s="23"/>
      <c r="G159" s="23">
        <v>2196.2600000000002</v>
      </c>
      <c r="H159" s="29"/>
      <c r="I159" s="23"/>
      <c r="J159" s="2"/>
      <c r="K159" s="33">
        <v>48.25</v>
      </c>
      <c r="L159" s="38">
        <f t="shared" ref="L159:L164" si="22">+G159*K159</f>
        <v>105969.54500000001</v>
      </c>
      <c r="M159" s="38">
        <f t="shared" ref="M159" si="23">+K159*H159</f>
        <v>0</v>
      </c>
      <c r="N159" s="38">
        <v>105969.55</v>
      </c>
      <c r="O159" s="22" t="s">
        <v>25</v>
      </c>
    </row>
    <row r="160" spans="1:21" s="12" customFormat="1" ht="30" customHeight="1" x14ac:dyDescent="0.35">
      <c r="A160" s="23">
        <v>2</v>
      </c>
      <c r="B160" s="40"/>
      <c r="C160" s="23"/>
      <c r="D160" s="14"/>
      <c r="E160" s="23"/>
      <c r="F160" s="23"/>
      <c r="G160" s="23"/>
      <c r="H160" s="29"/>
      <c r="I160" s="23"/>
      <c r="J160" s="2"/>
      <c r="K160" s="33"/>
      <c r="L160" s="38">
        <f t="shared" si="22"/>
        <v>0</v>
      </c>
      <c r="M160" s="38"/>
      <c r="N160" s="38"/>
      <c r="O160" s="22"/>
    </row>
    <row r="161" spans="1:15" s="12" customFormat="1" ht="30" customHeight="1" x14ac:dyDescent="0.35">
      <c r="A161" s="23">
        <v>3</v>
      </c>
      <c r="B161" s="40"/>
      <c r="C161" s="23"/>
      <c r="D161" s="14"/>
      <c r="E161" s="23"/>
      <c r="F161" s="23"/>
      <c r="G161" s="23"/>
      <c r="H161" s="29"/>
      <c r="I161" s="23"/>
      <c r="J161" s="2"/>
      <c r="K161" s="33"/>
      <c r="L161" s="38">
        <f t="shared" si="22"/>
        <v>0</v>
      </c>
      <c r="M161" s="38"/>
      <c r="N161" s="38"/>
      <c r="O161" s="22"/>
    </row>
    <row r="162" spans="1:15" ht="30" customHeight="1" x14ac:dyDescent="0.35">
      <c r="A162" s="23">
        <v>4</v>
      </c>
      <c r="B162" s="40"/>
      <c r="C162" s="23"/>
      <c r="D162" s="14"/>
      <c r="E162" s="23"/>
      <c r="F162" s="23"/>
      <c r="G162" s="23"/>
      <c r="H162" s="29"/>
      <c r="I162" s="23"/>
      <c r="J162" s="2"/>
      <c r="K162" s="33"/>
      <c r="L162" s="38">
        <f t="shared" si="22"/>
        <v>0</v>
      </c>
      <c r="M162" s="38"/>
      <c r="N162" s="38"/>
      <c r="O162" s="22"/>
    </row>
    <row r="163" spans="1:15" ht="30" customHeight="1" x14ac:dyDescent="0.35">
      <c r="A163" s="23">
        <v>5</v>
      </c>
      <c r="B163" s="40"/>
      <c r="C163" s="23"/>
      <c r="D163" s="14"/>
      <c r="E163" s="23"/>
      <c r="F163" s="23"/>
      <c r="G163" s="23"/>
      <c r="H163" s="29"/>
      <c r="I163" s="23"/>
      <c r="J163" s="2"/>
      <c r="K163" s="33"/>
      <c r="L163" s="38">
        <f t="shared" si="22"/>
        <v>0</v>
      </c>
      <c r="M163" s="38"/>
      <c r="N163" s="38"/>
      <c r="O163" s="22"/>
    </row>
    <row r="164" spans="1:15" ht="30" customHeight="1" x14ac:dyDescent="0.35">
      <c r="A164" s="23"/>
      <c r="B164" s="40"/>
      <c r="C164" s="23"/>
      <c r="D164" s="14"/>
      <c r="E164" s="23"/>
      <c r="F164" s="23"/>
      <c r="G164" s="23"/>
      <c r="H164" s="29"/>
      <c r="I164" s="23"/>
      <c r="J164" s="2"/>
      <c r="K164" s="33"/>
      <c r="L164" s="38">
        <f t="shared" si="22"/>
        <v>0</v>
      </c>
      <c r="M164" s="38"/>
      <c r="N164" s="38"/>
      <c r="O164" s="22"/>
    </row>
    <row r="165" spans="1:15" ht="30" customHeight="1" x14ac:dyDescent="0.35">
      <c r="A165" s="23"/>
      <c r="B165" s="40"/>
      <c r="C165" s="23"/>
      <c r="D165" s="14"/>
      <c r="E165" s="23"/>
      <c r="F165" s="23"/>
      <c r="G165" s="23"/>
      <c r="H165" s="29"/>
      <c r="I165" s="23"/>
      <c r="J165" s="2"/>
      <c r="K165" s="33"/>
      <c r="L165" s="38"/>
      <c r="M165" s="38"/>
      <c r="N165" s="38"/>
      <c r="O165" s="22"/>
    </row>
    <row r="166" spans="1:15" ht="30" customHeight="1" thickBot="1" x14ac:dyDescent="0.4">
      <c r="A166" s="23"/>
      <c r="B166" s="40"/>
      <c r="C166" s="23"/>
      <c r="D166" s="14"/>
      <c r="E166" s="23"/>
      <c r="F166" s="23"/>
      <c r="G166" s="23"/>
      <c r="H166" s="29"/>
      <c r="I166" s="23"/>
      <c r="J166" s="2"/>
      <c r="K166" s="33"/>
      <c r="L166" s="38">
        <f t="shared" ref="L166" si="24">+G166*K166</f>
        <v>0</v>
      </c>
      <c r="M166" s="38"/>
      <c r="N166" s="38"/>
      <c r="O166" s="22"/>
    </row>
    <row r="167" spans="1:15" ht="30" customHeight="1" thickBot="1" x14ac:dyDescent="0.4">
      <c r="A167" s="83" t="s">
        <v>12</v>
      </c>
      <c r="B167" s="84"/>
      <c r="C167" s="84"/>
      <c r="D167" s="84"/>
      <c r="E167" s="84"/>
      <c r="F167" s="85"/>
      <c r="G167" s="18">
        <f>+SUM(G159:G166)</f>
        <v>2196.2600000000002</v>
      </c>
      <c r="H167" s="18">
        <f>+SUM(H159:H166)</f>
        <v>0</v>
      </c>
      <c r="I167" s="21">
        <f>+G167-H167</f>
        <v>2196.2600000000002</v>
      </c>
      <c r="J167" s="36" t="s">
        <v>12</v>
      </c>
      <c r="K167" s="35"/>
      <c r="L167" s="34">
        <f>+SUM(L159:L166)</f>
        <v>105969.54500000001</v>
      </c>
      <c r="M167" s="34"/>
      <c r="N167" s="67">
        <f>SUM(N159:N166)</f>
        <v>105969.55</v>
      </c>
      <c r="O167" s="3"/>
    </row>
    <row r="168" spans="1:15" ht="30" customHeight="1" x14ac:dyDescent="0.35">
      <c r="A168" s="133" t="s">
        <v>58</v>
      </c>
      <c r="B168" s="130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4"/>
    </row>
    <row r="169" spans="1:15" ht="30" customHeight="1" thickBot="1" x14ac:dyDescent="0.4">
      <c r="A169" s="135"/>
      <c r="B169" s="136"/>
      <c r="C169" s="136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7"/>
    </row>
    <row r="170" spans="1:15" s="4" customFormat="1" ht="38.25" customHeight="1" x14ac:dyDescent="0.35">
      <c r="A170" s="10" t="s">
        <v>2</v>
      </c>
      <c r="B170" s="88" t="s">
        <v>20</v>
      </c>
      <c r="C170" s="45" t="s">
        <v>19</v>
      </c>
      <c r="D170" s="48" t="s">
        <v>6</v>
      </c>
      <c r="E170" s="79" t="s">
        <v>7</v>
      </c>
      <c r="F170" s="81" t="s">
        <v>5</v>
      </c>
      <c r="G170" s="75" t="s">
        <v>4</v>
      </c>
      <c r="H170" s="75" t="s">
        <v>10</v>
      </c>
      <c r="I170" s="75" t="s">
        <v>11</v>
      </c>
      <c r="J170" s="77" t="s">
        <v>8</v>
      </c>
      <c r="K170" s="75" t="s">
        <v>16</v>
      </c>
      <c r="L170" s="75" t="s">
        <v>21</v>
      </c>
      <c r="M170" s="75" t="s">
        <v>48</v>
      </c>
      <c r="N170" s="75" t="s">
        <v>49</v>
      </c>
      <c r="O170" s="86" t="s">
        <v>9</v>
      </c>
    </row>
    <row r="171" spans="1:15" ht="28.5" customHeight="1" thickBot="1" x14ac:dyDescent="0.4">
      <c r="A171" s="68">
        <v>1</v>
      </c>
      <c r="B171" s="89"/>
      <c r="C171" s="46"/>
      <c r="D171" s="49" t="s">
        <v>59</v>
      </c>
      <c r="E171" s="80"/>
      <c r="F171" s="82"/>
      <c r="G171" s="76"/>
      <c r="H171" s="76"/>
      <c r="I171" s="76"/>
      <c r="J171" s="78"/>
      <c r="K171" s="76"/>
      <c r="L171" s="76"/>
      <c r="M171" s="76"/>
      <c r="N171" s="76"/>
      <c r="O171" s="87"/>
    </row>
    <row r="172" spans="1:15" s="12" customFormat="1" ht="30" customHeight="1" x14ac:dyDescent="0.35">
      <c r="A172" s="23">
        <v>1</v>
      </c>
      <c r="B172" s="40">
        <v>46292</v>
      </c>
      <c r="C172" s="23"/>
      <c r="D172" s="14" t="s">
        <v>59</v>
      </c>
      <c r="E172" s="23">
        <v>200</v>
      </c>
      <c r="F172" s="23"/>
      <c r="G172" s="23">
        <v>1823.2</v>
      </c>
      <c r="H172" s="29"/>
      <c r="I172" s="23"/>
      <c r="J172" s="2"/>
      <c r="K172" s="33">
        <v>48.5</v>
      </c>
      <c r="L172" s="38">
        <f>+G172*K172</f>
        <v>88425.2</v>
      </c>
      <c r="M172" s="38">
        <f t="shared" ref="M172" si="25">+K172*H172</f>
        <v>0</v>
      </c>
      <c r="N172" s="38">
        <f>+K172*G172</f>
        <v>88425.2</v>
      </c>
      <c r="O172" s="22" t="s">
        <v>47</v>
      </c>
    </row>
    <row r="173" spans="1:15" s="12" customFormat="1" ht="30" customHeight="1" x14ac:dyDescent="0.35">
      <c r="A173" s="23">
        <v>2</v>
      </c>
      <c r="B173" s="40"/>
      <c r="C173" s="23"/>
      <c r="D173" s="14"/>
      <c r="E173" s="23"/>
      <c r="F173" s="23"/>
      <c r="G173" s="23"/>
      <c r="H173" s="29"/>
      <c r="I173" s="23"/>
      <c r="J173" s="2"/>
      <c r="K173" s="33"/>
      <c r="L173" s="38">
        <f t="shared" ref="L173:L179" si="26">+G173*K173</f>
        <v>0</v>
      </c>
      <c r="M173" s="38"/>
      <c r="N173" s="38"/>
      <c r="O173" s="22"/>
    </row>
    <row r="174" spans="1:15" s="12" customFormat="1" ht="30" customHeight="1" x14ac:dyDescent="0.35">
      <c r="A174" s="23">
        <v>3</v>
      </c>
      <c r="B174" s="40"/>
      <c r="C174" s="23"/>
      <c r="D174" s="14"/>
      <c r="E174" s="23"/>
      <c r="F174" s="23"/>
      <c r="G174" s="23"/>
      <c r="H174" s="29"/>
      <c r="I174" s="23"/>
      <c r="J174" s="2"/>
      <c r="K174" s="33"/>
      <c r="L174" s="38">
        <f t="shared" si="26"/>
        <v>0</v>
      </c>
      <c r="M174" s="38"/>
      <c r="N174" s="38"/>
      <c r="O174" s="22"/>
    </row>
    <row r="175" spans="1:15" ht="30" customHeight="1" x14ac:dyDescent="0.35">
      <c r="A175" s="23">
        <v>4</v>
      </c>
      <c r="B175" s="40"/>
      <c r="C175" s="23"/>
      <c r="D175" s="14"/>
      <c r="E175" s="23"/>
      <c r="F175" s="23"/>
      <c r="G175" s="23"/>
      <c r="H175" s="29"/>
      <c r="I175" s="23"/>
      <c r="J175" s="2"/>
      <c r="K175" s="33"/>
      <c r="L175" s="38">
        <f t="shared" si="26"/>
        <v>0</v>
      </c>
      <c r="M175" s="38"/>
      <c r="N175" s="38"/>
      <c r="O175" s="22"/>
    </row>
    <row r="176" spans="1:15" ht="30" customHeight="1" x14ac:dyDescent="0.35">
      <c r="A176" s="23">
        <v>5</v>
      </c>
      <c r="B176" s="40"/>
      <c r="C176" s="23"/>
      <c r="D176" s="14"/>
      <c r="E176" s="23"/>
      <c r="F176" s="23"/>
      <c r="G176" s="23"/>
      <c r="H176" s="29"/>
      <c r="I176" s="23"/>
      <c r="J176" s="2"/>
      <c r="K176" s="33"/>
      <c r="L176" s="38">
        <f t="shared" si="26"/>
        <v>0</v>
      </c>
      <c r="M176" s="38"/>
      <c r="N176" s="38"/>
      <c r="O176" s="22"/>
    </row>
    <row r="177" spans="1:15" ht="30" customHeight="1" x14ac:dyDescent="0.35">
      <c r="A177" s="23"/>
      <c r="B177" s="40"/>
      <c r="C177" s="23"/>
      <c r="D177" s="14"/>
      <c r="E177" s="23"/>
      <c r="F177" s="23"/>
      <c r="G177" s="23"/>
      <c r="H177" s="29"/>
      <c r="I177" s="23"/>
      <c r="J177" s="2"/>
      <c r="K177" s="33"/>
      <c r="L177" s="38">
        <f t="shared" si="26"/>
        <v>0</v>
      </c>
      <c r="M177" s="38"/>
      <c r="N177" s="38"/>
      <c r="O177" s="22"/>
    </row>
    <row r="178" spans="1:15" ht="30" customHeight="1" x14ac:dyDescent="0.35">
      <c r="A178" s="23"/>
      <c r="B178" s="40"/>
      <c r="C178" s="23"/>
      <c r="D178" s="14"/>
      <c r="E178" s="23"/>
      <c r="F178" s="23"/>
      <c r="G178" s="23"/>
      <c r="H178" s="29"/>
      <c r="I178" s="23"/>
      <c r="J178" s="2"/>
      <c r="K178" s="33"/>
      <c r="L178" s="38">
        <f t="shared" si="26"/>
        <v>0</v>
      </c>
      <c r="M178" s="38"/>
      <c r="N178" s="38"/>
      <c r="O178" s="22"/>
    </row>
    <row r="179" spans="1:15" ht="30" customHeight="1" thickBot="1" x14ac:dyDescent="0.4">
      <c r="A179" s="23"/>
      <c r="B179" s="40"/>
      <c r="C179" s="23"/>
      <c r="D179" s="14"/>
      <c r="E179" s="23"/>
      <c r="F179" s="23"/>
      <c r="G179" s="23"/>
      <c r="H179" s="29"/>
      <c r="I179" s="23"/>
      <c r="J179" s="2"/>
      <c r="K179" s="33"/>
      <c r="L179" s="38">
        <f t="shared" si="26"/>
        <v>0</v>
      </c>
      <c r="M179" s="38"/>
      <c r="N179" s="38"/>
      <c r="O179" s="22"/>
    </row>
    <row r="180" spans="1:15" ht="30" customHeight="1" thickBot="1" x14ac:dyDescent="0.4">
      <c r="A180" s="83" t="s">
        <v>12</v>
      </c>
      <c r="B180" s="84"/>
      <c r="C180" s="84"/>
      <c r="D180" s="84"/>
      <c r="E180" s="84"/>
      <c r="F180" s="85"/>
      <c r="G180" s="18">
        <f>+SUM(G172:G179)</f>
        <v>1823.2</v>
      </c>
      <c r="H180" s="18">
        <f>+SUM(H172:H179)</f>
        <v>0</v>
      </c>
      <c r="I180" s="21">
        <f>+G180-H180</f>
        <v>1823.2</v>
      </c>
      <c r="J180" s="36" t="s">
        <v>12</v>
      </c>
      <c r="K180" s="35"/>
      <c r="L180" s="34">
        <f>+SUM(L173:L179)</f>
        <v>0</v>
      </c>
      <c r="M180" s="34"/>
      <c r="N180" s="67">
        <f>SUM(N172:N179)</f>
        <v>88425.2</v>
      </c>
      <c r="O180" s="3"/>
    </row>
    <row r="181" spans="1:15" ht="44.25" customHeight="1" thickBot="1" x14ac:dyDescent="0.4">
      <c r="A181" s="119" t="s">
        <v>17</v>
      </c>
      <c r="B181" s="120"/>
      <c r="C181" s="72">
        <f>+G180+G167+G154+G136+G114+G98+G78+G64+G51+G30</f>
        <v>29962.46</v>
      </c>
      <c r="D181" s="121" t="s">
        <v>18</v>
      </c>
      <c r="E181" s="122"/>
      <c r="F181" s="123">
        <f>+I180+I167+I154+I136+I114+I98+I78+I64+I51+I30</f>
        <v>12019.46</v>
      </c>
      <c r="G181" s="124"/>
      <c r="H181" s="39"/>
      <c r="I181" s="127" t="s">
        <v>51</v>
      </c>
      <c r="J181" s="128"/>
      <c r="K181" s="129"/>
      <c r="L181" s="70">
        <f>+L180+L167+L154+L136+L114+L98+L78+L64+L51+L30</f>
        <v>1039373.545</v>
      </c>
      <c r="M181" s="125" t="s">
        <v>52</v>
      </c>
      <c r="N181" s="126"/>
      <c r="O181" s="71">
        <f>+N180+N167+N154+N136+N114+N98+N78+N64+N51+N30</f>
        <v>620522.5</v>
      </c>
    </row>
    <row r="182" spans="1:15" x14ac:dyDescent="0.35">
      <c r="A182" s="5"/>
      <c r="B182" s="43"/>
      <c r="D182" s="6"/>
      <c r="F182" s="19" t="s">
        <v>0</v>
      </c>
      <c r="G182" s="19"/>
      <c r="H182" s="19"/>
      <c r="I182" s="27"/>
      <c r="J182" s="19"/>
      <c r="K182" s="7"/>
      <c r="L182" s="7"/>
      <c r="M182" s="7"/>
      <c r="N182" s="7"/>
      <c r="O182" s="1"/>
    </row>
  </sheetData>
  <mergeCells count="153">
    <mergeCell ref="M54:M55"/>
    <mergeCell ref="N54:N55"/>
    <mergeCell ref="O54:O55"/>
    <mergeCell ref="A64:F64"/>
    <mergeCell ref="A65:O66"/>
    <mergeCell ref="A4:O5"/>
    <mergeCell ref="B6:B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O157:O158"/>
    <mergeCell ref="A167:F167"/>
    <mergeCell ref="B139:B140"/>
    <mergeCell ref="C139:C140"/>
    <mergeCell ref="E139:E140"/>
    <mergeCell ref="F139:F140"/>
    <mergeCell ref="G139:G140"/>
    <mergeCell ref="H139:H140"/>
    <mergeCell ref="I139:I140"/>
    <mergeCell ref="J139:J140"/>
    <mergeCell ref="K139:K140"/>
    <mergeCell ref="L139:L140"/>
    <mergeCell ref="M139:M140"/>
    <mergeCell ref="N139:N140"/>
    <mergeCell ref="O139:O140"/>
    <mergeCell ref="A154:F154"/>
    <mergeCell ref="A180:F180"/>
    <mergeCell ref="A181:B181"/>
    <mergeCell ref="D181:E181"/>
    <mergeCell ref="F181:G181"/>
    <mergeCell ref="M181:N181"/>
    <mergeCell ref="I181:K181"/>
    <mergeCell ref="A155:O156"/>
    <mergeCell ref="B170:B171"/>
    <mergeCell ref="E170:E171"/>
    <mergeCell ref="F170:F171"/>
    <mergeCell ref="G170:G171"/>
    <mergeCell ref="H170:H171"/>
    <mergeCell ref="I170:I171"/>
    <mergeCell ref="J170:J171"/>
    <mergeCell ref="K170:K171"/>
    <mergeCell ref="L170:L171"/>
    <mergeCell ref="M170:M171"/>
    <mergeCell ref="N170:N171"/>
    <mergeCell ref="O170:O171"/>
    <mergeCell ref="B157:B158"/>
    <mergeCell ref="E157:E158"/>
    <mergeCell ref="F157:F158"/>
    <mergeCell ref="G157:G158"/>
    <mergeCell ref="H157:H158"/>
    <mergeCell ref="I157:I158"/>
    <mergeCell ref="J157:J158"/>
    <mergeCell ref="K157:K158"/>
    <mergeCell ref="L157:L158"/>
    <mergeCell ref="M157:M158"/>
    <mergeCell ref="N157:N158"/>
    <mergeCell ref="A136:F136"/>
    <mergeCell ref="A115:O116"/>
    <mergeCell ref="B117:B118"/>
    <mergeCell ref="C117:C118"/>
    <mergeCell ref="E117:E118"/>
    <mergeCell ref="F117:F118"/>
    <mergeCell ref="G117:G118"/>
    <mergeCell ref="H117:H118"/>
    <mergeCell ref="I117:I118"/>
    <mergeCell ref="J117:J118"/>
    <mergeCell ref="A137:O138"/>
    <mergeCell ref="K117:K118"/>
    <mergeCell ref="L117:L118"/>
    <mergeCell ref="M117:M118"/>
    <mergeCell ref="N117:N118"/>
    <mergeCell ref="O117:O118"/>
    <mergeCell ref="O99:O100"/>
    <mergeCell ref="A114:F114"/>
    <mergeCell ref="I99:I100"/>
    <mergeCell ref="J99:J100"/>
    <mergeCell ref="K99:K100"/>
    <mergeCell ref="L99:L100"/>
    <mergeCell ref="M99:M100"/>
    <mergeCell ref="N99:N100"/>
    <mergeCell ref="B99:B100"/>
    <mergeCell ref="C99:C100"/>
    <mergeCell ref="E99:E100"/>
    <mergeCell ref="F99:F100"/>
    <mergeCell ref="G99:G100"/>
    <mergeCell ref="H99:H100"/>
    <mergeCell ref="A98:F98"/>
    <mergeCell ref="B81:B82"/>
    <mergeCell ref="C81:C82"/>
    <mergeCell ref="E81:E82"/>
    <mergeCell ref="F81:F82"/>
    <mergeCell ref="G81:G82"/>
    <mergeCell ref="H81:H82"/>
    <mergeCell ref="I81:I82"/>
    <mergeCell ref="J81:J82"/>
    <mergeCell ref="K81:K82"/>
    <mergeCell ref="L81:L82"/>
    <mergeCell ref="M81:M82"/>
    <mergeCell ref="N81:N82"/>
    <mergeCell ref="O81:O82"/>
    <mergeCell ref="B54:B55"/>
    <mergeCell ref="A79:O80"/>
    <mergeCell ref="A168:O169"/>
    <mergeCell ref="E54:E55"/>
    <mergeCell ref="F54:F55"/>
    <mergeCell ref="B67:B68"/>
    <mergeCell ref="C67:C68"/>
    <mergeCell ref="E67:E68"/>
    <mergeCell ref="F67:F68"/>
    <mergeCell ref="G67:G68"/>
    <mergeCell ref="N67:N68"/>
    <mergeCell ref="O67:O68"/>
    <mergeCell ref="A78:F78"/>
    <mergeCell ref="H67:H68"/>
    <mergeCell ref="I67:I68"/>
    <mergeCell ref="J67:J68"/>
    <mergeCell ref="K67:K68"/>
    <mergeCell ref="L67:L68"/>
    <mergeCell ref="M67:M68"/>
    <mergeCell ref="A30:F30"/>
    <mergeCell ref="G54:G55"/>
    <mergeCell ref="H54:H55"/>
    <mergeCell ref="I54:I55"/>
    <mergeCell ref="J54:J55"/>
    <mergeCell ref="K54:K55"/>
    <mergeCell ref="L54:L55"/>
    <mergeCell ref="A52:O53"/>
    <mergeCell ref="N32:N33"/>
    <mergeCell ref="A1:O1"/>
    <mergeCell ref="A2:O2"/>
    <mergeCell ref="A3:O3"/>
    <mergeCell ref="A31:O31"/>
    <mergeCell ref="B32:B33"/>
    <mergeCell ref="C32:C33"/>
    <mergeCell ref="E32:E33"/>
    <mergeCell ref="F32:F33"/>
    <mergeCell ref="G32:G33"/>
    <mergeCell ref="H32:H33"/>
    <mergeCell ref="O32:O33"/>
    <mergeCell ref="A51:F51"/>
    <mergeCell ref="I32:I33"/>
    <mergeCell ref="J32:J33"/>
    <mergeCell ref="K32:K33"/>
    <mergeCell ref="L32:L33"/>
    <mergeCell ref="M32:M3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REEL STOCK 26 TO 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2026-10-10T03:02:50Z</dcterms:modified>
</cp:coreProperties>
</file>